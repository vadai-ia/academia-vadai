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Resumen por áre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5F8FB"/>
    </font>
  </fonts>
  <fills count="3">
    <fill>
      <patternFill/>
    </fill>
    <fill>
      <patternFill patternType="gray125"/>
    </fill>
    <fill>
      <patternFill patternType="solid">
        <fgColor rgb="000A1A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3" customWidth="1" min="4" max="4"/>
    <col width="16" customWidth="1" min="5" max="5"/>
    <col width="16" customWidth="1" min="6" max="6"/>
    <col width="12" customWidth="1" min="7" max="7"/>
    <col width="20" customWidth="1" min="8" max="8"/>
    <col width="14" customWidth="1" min="9" max="9"/>
    <col width="16" customWidth="1" min="10" max="10"/>
    <col width="15" customWidth="1" min="11" max="11"/>
    <col width="22" customWidth="1" min="12" max="12"/>
    <col width="18" customWidth="1" min="13" max="13"/>
  </cols>
  <sheetData>
    <row r="1">
      <c r="A1" s="1" t="inlineStr">
        <is>
          <t>Área</t>
        </is>
      </c>
      <c r="B1" s="1" t="inlineStr">
        <is>
          <t>Tarea</t>
        </is>
      </c>
      <c r="C1" s="1" t="inlineStr">
        <is>
          <t>Quién la hace</t>
        </is>
      </c>
      <c r="D1" s="1" t="inlineStr">
        <is>
          <t>Frecuencia</t>
        </is>
      </c>
      <c r="E1" s="1" t="inlineStr">
        <is>
          <t>Veces por semana</t>
        </is>
      </c>
      <c r="F1" s="1" t="inlineStr">
        <is>
          <t>Minutos cada vez</t>
        </is>
      </c>
      <c r="G1" s="1" t="inlineStr">
        <is>
          <t>Tipo (A/B)</t>
        </is>
      </c>
      <c r="H1" s="1" t="inlineStr">
        <is>
          <t>Sueldo mensual bruto</t>
        </is>
      </c>
      <c r="I1" s="1" t="inlineStr">
        <is>
          <t>Horas al año</t>
        </is>
      </c>
      <c r="J1" s="1" t="inlineStr">
        <is>
          <t>Costo al año</t>
        </is>
      </c>
      <c r="K1" s="1" t="inlineStr">
        <is>
          <t>Candidata a IA</t>
        </is>
      </c>
      <c r="L1" s="1" t="inlineStr">
        <is>
          <t>Primer paso</t>
        </is>
      </c>
      <c r="M1" s="1" t="inlineStr">
        <is>
          <t>Quién revisa</t>
        </is>
      </c>
    </row>
    <row r="2">
      <c r="A2" t="inlineStr">
        <is>
          <t>Finanzas</t>
        </is>
      </c>
      <c r="B2" t="inlineStr">
        <is>
          <t>Conciliar el banco</t>
        </is>
      </c>
      <c r="C2" t="inlineStr">
        <is>
          <t>Laura</t>
        </is>
      </c>
      <c r="D2" t="inlineStr">
        <is>
          <t>semanal</t>
        </is>
      </c>
      <c r="E2">
        <f>IF(D2="diaria",5,IF(D2="semanal",1,IF(D2="quincenal",0.5,IF(D2="mensual",0.25,""))))</f>
        <v/>
      </c>
      <c r="F2" t="n">
        <v>180</v>
      </c>
      <c r="G2" t="inlineStr">
        <is>
          <t>A</t>
        </is>
      </c>
      <c r="H2" t="n">
        <v>18000</v>
      </c>
      <c r="I2" s="2">
        <f>IF(OR(E2="",F2=""),"",E2*F2/60*Supuestos!$B$4)</f>
        <v/>
      </c>
      <c r="J2" s="3">
        <f>IF(OR(I2="",H2=""),"",I2*(H2*Supuestos!$B$3/(Supuestos!$B$2*4.33)))</f>
        <v/>
      </c>
      <c r="K2">
        <f>IF(I2="","",IF(AND(G2="A",I2&gt;=Supuestos!$B$8),"SÍ","no"))</f>
        <v/>
      </c>
      <c r="L2" t="inlineStr">
        <is>
          <t>habilidad</t>
        </is>
      </c>
      <c r="M2" t="inlineStr">
        <is>
          <t>Contralor</t>
        </is>
      </c>
    </row>
    <row r="3">
      <c r="E3">
        <f>IF(D3="diaria",5,IF(D3="semanal",1,IF(D3="quincenal",0.5,IF(D3="mensual",0.25,""))))</f>
        <v/>
      </c>
      <c r="I3" s="2">
        <f>IF(OR(E3="",F3=""),"",E3*F3/60*Supuestos!$B$4)</f>
        <v/>
      </c>
      <c r="J3" s="3">
        <f>IF(OR(I3="",H3=""),"",I3*(H3*Supuestos!$B$3/(Supuestos!$B$2*4.33)))</f>
        <v/>
      </c>
      <c r="K3">
        <f>IF(I3="","",IF(AND(G3="A",I3&gt;=Supuestos!$B$8),"SÍ","no"))</f>
        <v/>
      </c>
    </row>
    <row r="4">
      <c r="E4">
        <f>IF(D4="diaria",5,IF(D4="semanal",1,IF(D4="quincenal",0.5,IF(D4="mensual",0.25,""))))</f>
        <v/>
      </c>
      <c r="I4" s="2">
        <f>IF(OR(E4="",F4=""),"",E4*F4/60*Supuestos!$B$4)</f>
        <v/>
      </c>
      <c r="J4" s="3">
        <f>IF(OR(I4="",H4=""),"",I4*(H4*Supuestos!$B$3/(Supuestos!$B$2*4.33)))</f>
        <v/>
      </c>
      <c r="K4">
        <f>IF(I4="","",IF(AND(G4="A",I4&gt;=Supuestos!$B$8),"SÍ","no"))</f>
        <v/>
      </c>
    </row>
    <row r="5">
      <c r="E5">
        <f>IF(D5="diaria",5,IF(D5="semanal",1,IF(D5="quincenal",0.5,IF(D5="mensual",0.25,""))))</f>
        <v/>
      </c>
      <c r="I5" s="2">
        <f>IF(OR(E5="",F5=""),"",E5*F5/60*Supuestos!$B$4)</f>
        <v/>
      </c>
      <c r="J5" s="3">
        <f>IF(OR(I5="",H5=""),"",I5*(H5*Supuestos!$B$3/(Supuestos!$B$2*4.33)))</f>
        <v/>
      </c>
      <c r="K5">
        <f>IF(I5="","",IF(AND(G5="A",I5&gt;=Supuestos!$B$8),"SÍ","no"))</f>
        <v/>
      </c>
    </row>
    <row r="6">
      <c r="E6">
        <f>IF(D6="diaria",5,IF(D6="semanal",1,IF(D6="quincenal",0.5,IF(D6="mensual",0.25,""))))</f>
        <v/>
      </c>
      <c r="I6" s="2">
        <f>IF(OR(E6="",F6=""),"",E6*F6/60*Supuestos!$B$4)</f>
        <v/>
      </c>
      <c r="J6" s="3">
        <f>IF(OR(I6="",H6=""),"",I6*(H6*Supuestos!$B$3/(Supuestos!$B$2*4.33)))</f>
        <v/>
      </c>
      <c r="K6">
        <f>IF(I6="","",IF(AND(G6="A",I6&gt;=Supuestos!$B$8),"SÍ","no"))</f>
        <v/>
      </c>
    </row>
    <row r="7">
      <c r="E7">
        <f>IF(D7="diaria",5,IF(D7="semanal",1,IF(D7="quincenal",0.5,IF(D7="mensual",0.25,""))))</f>
        <v/>
      </c>
      <c r="I7" s="2">
        <f>IF(OR(E7="",F7=""),"",E7*F7/60*Supuestos!$B$4)</f>
        <v/>
      </c>
      <c r="J7" s="3">
        <f>IF(OR(I7="",H7=""),"",I7*(H7*Supuestos!$B$3/(Supuestos!$B$2*4.33)))</f>
        <v/>
      </c>
      <c r="K7">
        <f>IF(I7="","",IF(AND(G7="A",I7&gt;=Supuestos!$B$8),"SÍ","no"))</f>
        <v/>
      </c>
    </row>
    <row r="8">
      <c r="E8">
        <f>IF(D8="diaria",5,IF(D8="semanal",1,IF(D8="quincenal",0.5,IF(D8="mensual",0.25,""))))</f>
        <v/>
      </c>
      <c r="I8" s="2">
        <f>IF(OR(E8="",F8=""),"",E8*F8/60*Supuestos!$B$4)</f>
        <v/>
      </c>
      <c r="J8" s="3">
        <f>IF(OR(I8="",H8=""),"",I8*(H8*Supuestos!$B$3/(Supuestos!$B$2*4.33)))</f>
        <v/>
      </c>
      <c r="K8">
        <f>IF(I8="","",IF(AND(G8="A",I8&gt;=Supuestos!$B$8),"SÍ","no"))</f>
        <v/>
      </c>
    </row>
    <row r="9">
      <c r="E9">
        <f>IF(D9="diaria",5,IF(D9="semanal",1,IF(D9="quincenal",0.5,IF(D9="mensual",0.25,""))))</f>
        <v/>
      </c>
      <c r="I9" s="2">
        <f>IF(OR(E9="",F9=""),"",E9*F9/60*Supuestos!$B$4)</f>
        <v/>
      </c>
      <c r="J9" s="3">
        <f>IF(OR(I9="",H9=""),"",I9*(H9*Supuestos!$B$3/(Supuestos!$B$2*4.33)))</f>
        <v/>
      </c>
      <c r="K9">
        <f>IF(I9="","",IF(AND(G9="A",I9&gt;=Supuestos!$B$8),"SÍ","no"))</f>
        <v/>
      </c>
    </row>
    <row r="10">
      <c r="E10">
        <f>IF(D10="diaria",5,IF(D10="semanal",1,IF(D10="quincenal",0.5,IF(D10="mensual",0.25,""))))</f>
        <v/>
      </c>
      <c r="I10" s="2">
        <f>IF(OR(E10="",F10=""),"",E10*F10/60*Supuestos!$B$4)</f>
        <v/>
      </c>
      <c r="J10" s="3">
        <f>IF(OR(I10="",H10=""),"",I10*(H10*Supuestos!$B$3/(Supuestos!$B$2*4.33)))</f>
        <v/>
      </c>
      <c r="K10">
        <f>IF(I10="","",IF(AND(G10="A",I10&gt;=Supuestos!$B$8),"SÍ","no"))</f>
        <v/>
      </c>
    </row>
    <row r="11">
      <c r="E11">
        <f>IF(D11="diaria",5,IF(D11="semanal",1,IF(D11="quincenal",0.5,IF(D11="mensual",0.25,""))))</f>
        <v/>
      </c>
      <c r="I11" s="2">
        <f>IF(OR(E11="",F11=""),"",E11*F11/60*Supuestos!$B$4)</f>
        <v/>
      </c>
      <c r="J11" s="3">
        <f>IF(OR(I11="",H11=""),"",I11*(H11*Supuestos!$B$3/(Supuestos!$B$2*4.33)))</f>
        <v/>
      </c>
      <c r="K11">
        <f>IF(I11="","",IF(AND(G11="A",I11&gt;=Supuestos!$B$8),"SÍ","no"))</f>
        <v/>
      </c>
    </row>
    <row r="12">
      <c r="E12">
        <f>IF(D12="diaria",5,IF(D12="semanal",1,IF(D12="quincenal",0.5,IF(D12="mensual",0.25,""))))</f>
        <v/>
      </c>
      <c r="I12" s="2">
        <f>IF(OR(E12="",F12=""),"",E12*F12/60*Supuestos!$B$4)</f>
        <v/>
      </c>
      <c r="J12" s="3">
        <f>IF(OR(I12="",H12=""),"",I12*(H12*Supuestos!$B$3/(Supuestos!$B$2*4.33)))</f>
        <v/>
      </c>
      <c r="K12">
        <f>IF(I12="","",IF(AND(G12="A",I12&gt;=Supuestos!$B$8),"SÍ","no"))</f>
        <v/>
      </c>
    </row>
    <row r="13">
      <c r="E13">
        <f>IF(D13="diaria",5,IF(D13="semanal",1,IF(D13="quincenal",0.5,IF(D13="mensual",0.25,""))))</f>
        <v/>
      </c>
      <c r="I13" s="2">
        <f>IF(OR(E13="",F13=""),"",E13*F13/60*Supuestos!$B$4)</f>
        <v/>
      </c>
      <c r="J13" s="3">
        <f>IF(OR(I13="",H13=""),"",I13*(H13*Supuestos!$B$3/(Supuestos!$B$2*4.33)))</f>
        <v/>
      </c>
      <c r="K13">
        <f>IF(I13="","",IF(AND(G13="A",I13&gt;=Supuestos!$B$8),"SÍ","no"))</f>
        <v/>
      </c>
    </row>
    <row r="14">
      <c r="E14">
        <f>IF(D14="diaria",5,IF(D14="semanal",1,IF(D14="quincenal",0.5,IF(D14="mensual",0.25,""))))</f>
        <v/>
      </c>
      <c r="I14" s="2">
        <f>IF(OR(E14="",F14=""),"",E14*F14/60*Supuestos!$B$4)</f>
        <v/>
      </c>
      <c r="J14" s="3">
        <f>IF(OR(I14="",H14=""),"",I14*(H14*Supuestos!$B$3/(Supuestos!$B$2*4.33)))</f>
        <v/>
      </c>
      <c r="K14">
        <f>IF(I14="","",IF(AND(G14="A",I14&gt;=Supuestos!$B$8),"SÍ","no"))</f>
        <v/>
      </c>
    </row>
    <row r="15">
      <c r="E15">
        <f>IF(D15="diaria",5,IF(D15="semanal",1,IF(D15="quincenal",0.5,IF(D15="mensual",0.25,""))))</f>
        <v/>
      </c>
      <c r="I15" s="2">
        <f>IF(OR(E15="",F15=""),"",E15*F15/60*Supuestos!$B$4)</f>
        <v/>
      </c>
      <c r="J15" s="3">
        <f>IF(OR(I15="",H15=""),"",I15*(H15*Supuestos!$B$3/(Supuestos!$B$2*4.33)))</f>
        <v/>
      </c>
      <c r="K15">
        <f>IF(I15="","",IF(AND(G15="A",I15&gt;=Supuestos!$B$8),"SÍ","no"))</f>
        <v/>
      </c>
    </row>
    <row r="16">
      <c r="E16">
        <f>IF(D16="diaria",5,IF(D16="semanal",1,IF(D16="quincenal",0.5,IF(D16="mensual",0.25,""))))</f>
        <v/>
      </c>
      <c r="I16" s="2">
        <f>IF(OR(E16="",F16=""),"",E16*F16/60*Supuestos!$B$4)</f>
        <v/>
      </c>
      <c r="J16" s="3">
        <f>IF(OR(I16="",H16=""),"",I16*(H16*Supuestos!$B$3/(Supuestos!$B$2*4.33)))</f>
        <v/>
      </c>
      <c r="K16">
        <f>IF(I16="","",IF(AND(G16="A",I16&gt;=Supuestos!$B$8),"SÍ","no"))</f>
        <v/>
      </c>
    </row>
    <row r="17">
      <c r="E17">
        <f>IF(D17="diaria",5,IF(D17="semanal",1,IF(D17="quincenal",0.5,IF(D17="mensual",0.25,""))))</f>
        <v/>
      </c>
      <c r="I17" s="2">
        <f>IF(OR(E17="",F17=""),"",E17*F17/60*Supuestos!$B$4)</f>
        <v/>
      </c>
      <c r="J17" s="3">
        <f>IF(OR(I17="",H17=""),"",I17*(H17*Supuestos!$B$3/(Supuestos!$B$2*4.33)))</f>
        <v/>
      </c>
      <c r="K17">
        <f>IF(I17="","",IF(AND(G17="A",I17&gt;=Supuestos!$B$8),"SÍ","no"))</f>
        <v/>
      </c>
    </row>
    <row r="18">
      <c r="E18">
        <f>IF(D18="diaria",5,IF(D18="semanal",1,IF(D18="quincenal",0.5,IF(D18="mensual",0.25,""))))</f>
        <v/>
      </c>
      <c r="I18" s="2">
        <f>IF(OR(E18="",F18=""),"",E18*F18/60*Supuestos!$B$4)</f>
        <v/>
      </c>
      <c r="J18" s="3">
        <f>IF(OR(I18="",H18=""),"",I18*(H18*Supuestos!$B$3/(Supuestos!$B$2*4.33)))</f>
        <v/>
      </c>
      <c r="K18">
        <f>IF(I18="","",IF(AND(G18="A",I18&gt;=Supuestos!$B$8),"SÍ","no"))</f>
        <v/>
      </c>
    </row>
    <row r="19">
      <c r="E19">
        <f>IF(D19="diaria",5,IF(D19="semanal",1,IF(D19="quincenal",0.5,IF(D19="mensual",0.25,""))))</f>
        <v/>
      </c>
      <c r="I19" s="2">
        <f>IF(OR(E19="",F19=""),"",E19*F19/60*Supuestos!$B$4)</f>
        <v/>
      </c>
      <c r="J19" s="3">
        <f>IF(OR(I19="",H19=""),"",I19*(H19*Supuestos!$B$3/(Supuestos!$B$2*4.33)))</f>
        <v/>
      </c>
      <c r="K19">
        <f>IF(I19="","",IF(AND(G19="A",I19&gt;=Supuestos!$B$8),"SÍ","no"))</f>
        <v/>
      </c>
    </row>
    <row r="20">
      <c r="E20">
        <f>IF(D20="diaria",5,IF(D20="semanal",1,IF(D20="quincenal",0.5,IF(D20="mensual",0.25,""))))</f>
        <v/>
      </c>
      <c r="I20" s="2">
        <f>IF(OR(E20="",F20=""),"",E20*F20/60*Supuestos!$B$4)</f>
        <v/>
      </c>
      <c r="J20" s="3">
        <f>IF(OR(I20="",H20=""),"",I20*(H20*Supuestos!$B$3/(Supuestos!$B$2*4.33)))</f>
        <v/>
      </c>
      <c r="K20">
        <f>IF(I20="","",IF(AND(G20="A",I20&gt;=Supuestos!$B$8),"SÍ","no"))</f>
        <v/>
      </c>
    </row>
    <row r="21">
      <c r="E21">
        <f>IF(D21="diaria",5,IF(D21="semanal",1,IF(D21="quincenal",0.5,IF(D21="mensual",0.25,""))))</f>
        <v/>
      </c>
      <c r="I21" s="2">
        <f>IF(OR(E21="",F21=""),"",E21*F21/60*Supuestos!$B$4)</f>
        <v/>
      </c>
      <c r="J21" s="3">
        <f>IF(OR(I21="",H21=""),"",I21*(H21*Supuestos!$B$3/(Supuestos!$B$2*4.33)))</f>
        <v/>
      </c>
      <c r="K21">
        <f>IF(I21="","",IF(AND(G21="A",I21&gt;=Supuestos!$B$8),"SÍ","no"))</f>
        <v/>
      </c>
    </row>
    <row r="22">
      <c r="E22">
        <f>IF(D22="diaria",5,IF(D22="semanal",1,IF(D22="quincenal",0.5,IF(D22="mensual",0.25,""))))</f>
        <v/>
      </c>
      <c r="I22" s="2">
        <f>IF(OR(E22="",F22=""),"",E22*F22/60*Supuestos!$B$4)</f>
        <v/>
      </c>
      <c r="J22" s="3">
        <f>IF(OR(I22="",H22=""),"",I22*(H22*Supuestos!$B$3/(Supuestos!$B$2*4.33)))</f>
        <v/>
      </c>
      <c r="K22">
        <f>IF(I22="","",IF(AND(G22="A",I22&gt;=Supuestos!$B$8),"SÍ","no"))</f>
        <v/>
      </c>
    </row>
    <row r="23">
      <c r="E23">
        <f>IF(D23="diaria",5,IF(D23="semanal",1,IF(D23="quincenal",0.5,IF(D23="mensual",0.25,""))))</f>
        <v/>
      </c>
      <c r="I23" s="2">
        <f>IF(OR(E23="",F23=""),"",E23*F23/60*Supuestos!$B$4)</f>
        <v/>
      </c>
      <c r="J23" s="3">
        <f>IF(OR(I23="",H23=""),"",I23*(H23*Supuestos!$B$3/(Supuestos!$B$2*4.33)))</f>
        <v/>
      </c>
      <c r="K23">
        <f>IF(I23="","",IF(AND(G23="A",I23&gt;=Supuestos!$B$8),"SÍ","no"))</f>
        <v/>
      </c>
    </row>
    <row r="24">
      <c r="E24">
        <f>IF(D24="diaria",5,IF(D24="semanal",1,IF(D24="quincenal",0.5,IF(D24="mensual",0.25,""))))</f>
        <v/>
      </c>
      <c r="I24" s="2">
        <f>IF(OR(E24="",F24=""),"",E24*F24/60*Supuestos!$B$4)</f>
        <v/>
      </c>
      <c r="J24" s="3">
        <f>IF(OR(I24="",H24=""),"",I24*(H24*Supuestos!$B$3/(Supuestos!$B$2*4.33)))</f>
        <v/>
      </c>
      <c r="K24">
        <f>IF(I24="","",IF(AND(G24="A",I24&gt;=Supuestos!$B$8),"SÍ","no"))</f>
        <v/>
      </c>
    </row>
    <row r="25">
      <c r="E25">
        <f>IF(D25="diaria",5,IF(D25="semanal",1,IF(D25="quincenal",0.5,IF(D25="mensual",0.25,""))))</f>
        <v/>
      </c>
      <c r="I25" s="2">
        <f>IF(OR(E25="",F25=""),"",E25*F25/60*Supuestos!$B$4)</f>
        <v/>
      </c>
      <c r="J25" s="3">
        <f>IF(OR(I25="",H25=""),"",I25*(H25*Supuestos!$B$3/(Supuestos!$B$2*4.33)))</f>
        <v/>
      </c>
      <c r="K25">
        <f>IF(I25="","",IF(AND(G25="A",I25&gt;=Supuestos!$B$8),"SÍ","no"))</f>
        <v/>
      </c>
    </row>
    <row r="26">
      <c r="E26">
        <f>IF(D26="diaria",5,IF(D26="semanal",1,IF(D26="quincenal",0.5,IF(D26="mensual",0.25,""))))</f>
        <v/>
      </c>
      <c r="I26" s="2">
        <f>IF(OR(E26="",F26=""),"",E26*F26/60*Supuestos!$B$4)</f>
        <v/>
      </c>
      <c r="J26" s="3">
        <f>IF(OR(I26="",H26=""),"",I26*(H26*Supuestos!$B$3/(Supuestos!$B$2*4.33)))</f>
        <v/>
      </c>
      <c r="K26">
        <f>IF(I26="","",IF(AND(G26="A",I26&gt;=Supuestos!$B$8),"SÍ","no"))</f>
        <v/>
      </c>
    </row>
    <row r="27">
      <c r="E27">
        <f>IF(D27="diaria",5,IF(D27="semanal",1,IF(D27="quincenal",0.5,IF(D27="mensual",0.25,""))))</f>
        <v/>
      </c>
      <c r="I27" s="2">
        <f>IF(OR(E27="",F27=""),"",E27*F27/60*Supuestos!$B$4)</f>
        <v/>
      </c>
      <c r="J27" s="3">
        <f>IF(OR(I27="",H27=""),"",I27*(H27*Supuestos!$B$3/(Supuestos!$B$2*4.33)))</f>
        <v/>
      </c>
      <c r="K27">
        <f>IF(I27="","",IF(AND(G27="A",I27&gt;=Supuestos!$B$8),"SÍ","no"))</f>
        <v/>
      </c>
    </row>
    <row r="28">
      <c r="E28">
        <f>IF(D28="diaria",5,IF(D28="semanal",1,IF(D28="quincenal",0.5,IF(D28="mensual",0.25,""))))</f>
        <v/>
      </c>
      <c r="I28" s="2">
        <f>IF(OR(E28="",F28=""),"",E28*F28/60*Supuestos!$B$4)</f>
        <v/>
      </c>
      <c r="J28" s="3">
        <f>IF(OR(I28="",H28=""),"",I28*(H28*Supuestos!$B$3/(Supuestos!$B$2*4.33)))</f>
        <v/>
      </c>
      <c r="K28">
        <f>IF(I28="","",IF(AND(G28="A",I28&gt;=Supuestos!$B$8),"SÍ","no"))</f>
        <v/>
      </c>
    </row>
    <row r="29">
      <c r="E29">
        <f>IF(D29="diaria",5,IF(D29="semanal",1,IF(D29="quincenal",0.5,IF(D29="mensual",0.25,""))))</f>
        <v/>
      </c>
      <c r="I29" s="2">
        <f>IF(OR(E29="",F29=""),"",E29*F29/60*Supuestos!$B$4)</f>
        <v/>
      </c>
      <c r="J29" s="3">
        <f>IF(OR(I29="",H29=""),"",I29*(H29*Supuestos!$B$3/(Supuestos!$B$2*4.33)))</f>
        <v/>
      </c>
      <c r="K29">
        <f>IF(I29="","",IF(AND(G29="A",I29&gt;=Supuestos!$B$8),"SÍ","no"))</f>
        <v/>
      </c>
    </row>
    <row r="30">
      <c r="E30">
        <f>IF(D30="diaria",5,IF(D30="semanal",1,IF(D30="quincenal",0.5,IF(D30="mensual",0.25,""))))</f>
        <v/>
      </c>
      <c r="I30" s="2">
        <f>IF(OR(E30="",F30=""),"",E30*F30/60*Supuestos!$B$4)</f>
        <v/>
      </c>
      <c r="J30" s="3">
        <f>IF(OR(I30="",H30=""),"",I30*(H30*Supuestos!$B$3/(Supuestos!$B$2*4.33)))</f>
        <v/>
      </c>
      <c r="K30">
        <f>IF(I30="","",IF(AND(G30="A",I30&gt;=Supuestos!$B$8),"SÍ","no"))</f>
        <v/>
      </c>
    </row>
    <row r="31">
      <c r="E31">
        <f>IF(D31="diaria",5,IF(D31="semanal",1,IF(D31="quincenal",0.5,IF(D31="mensual",0.25,""))))</f>
        <v/>
      </c>
      <c r="I31" s="2">
        <f>IF(OR(E31="",F31=""),"",E31*F31/60*Supuestos!$B$4)</f>
        <v/>
      </c>
      <c r="J31" s="3">
        <f>IF(OR(I31="",H31=""),"",I31*(H31*Supuestos!$B$3/(Supuestos!$B$2*4.33)))</f>
        <v/>
      </c>
      <c r="K31">
        <f>IF(I31="","",IF(AND(G31="A",I31&gt;=Supuestos!$B$8),"SÍ","no"))</f>
        <v/>
      </c>
    </row>
    <row r="32">
      <c r="E32">
        <f>IF(D32="diaria",5,IF(D32="semanal",1,IF(D32="quincenal",0.5,IF(D32="mensual",0.25,""))))</f>
        <v/>
      </c>
      <c r="I32" s="2">
        <f>IF(OR(E32="",F32=""),"",E32*F32/60*Supuestos!$B$4)</f>
        <v/>
      </c>
      <c r="J32" s="3">
        <f>IF(OR(I32="",H32=""),"",I32*(H32*Supuestos!$B$3/(Supuestos!$B$2*4.33)))</f>
        <v/>
      </c>
      <c r="K32">
        <f>IF(I32="","",IF(AND(G32="A",I32&gt;=Supuestos!$B$8),"SÍ","no"))</f>
        <v/>
      </c>
    </row>
    <row r="33">
      <c r="E33">
        <f>IF(D33="diaria",5,IF(D33="semanal",1,IF(D33="quincenal",0.5,IF(D33="mensual",0.25,""))))</f>
        <v/>
      </c>
      <c r="I33" s="2">
        <f>IF(OR(E33="",F33=""),"",E33*F33/60*Supuestos!$B$4)</f>
        <v/>
      </c>
      <c r="J33" s="3">
        <f>IF(OR(I33="",H33=""),"",I33*(H33*Supuestos!$B$3/(Supuestos!$B$2*4.33)))</f>
        <v/>
      </c>
      <c r="K33">
        <f>IF(I33="","",IF(AND(G33="A",I33&gt;=Supuestos!$B$8),"SÍ","no"))</f>
        <v/>
      </c>
    </row>
    <row r="34">
      <c r="E34">
        <f>IF(D34="diaria",5,IF(D34="semanal",1,IF(D34="quincenal",0.5,IF(D34="mensual",0.25,""))))</f>
        <v/>
      </c>
      <c r="I34" s="2">
        <f>IF(OR(E34="",F34=""),"",E34*F34/60*Supuestos!$B$4)</f>
        <v/>
      </c>
      <c r="J34" s="3">
        <f>IF(OR(I34="",H34=""),"",I34*(H34*Supuestos!$B$3/(Supuestos!$B$2*4.33)))</f>
        <v/>
      </c>
      <c r="K34">
        <f>IF(I34="","",IF(AND(G34="A",I34&gt;=Supuestos!$B$8),"SÍ","no"))</f>
        <v/>
      </c>
    </row>
    <row r="35">
      <c r="E35">
        <f>IF(D35="diaria",5,IF(D35="semanal",1,IF(D35="quincenal",0.5,IF(D35="mensual",0.25,""))))</f>
        <v/>
      </c>
      <c r="I35" s="2">
        <f>IF(OR(E35="",F35=""),"",E35*F35/60*Supuestos!$B$4)</f>
        <v/>
      </c>
      <c r="J35" s="3">
        <f>IF(OR(I35="",H35=""),"",I35*(H35*Supuestos!$B$3/(Supuestos!$B$2*4.33)))</f>
        <v/>
      </c>
      <c r="K35">
        <f>IF(I35="","",IF(AND(G35="A",I35&gt;=Supuestos!$B$8),"SÍ","no"))</f>
        <v/>
      </c>
    </row>
    <row r="36">
      <c r="E36">
        <f>IF(D36="diaria",5,IF(D36="semanal",1,IF(D36="quincenal",0.5,IF(D36="mensual",0.25,""))))</f>
        <v/>
      </c>
      <c r="I36" s="2">
        <f>IF(OR(E36="",F36=""),"",E36*F36/60*Supuestos!$B$4)</f>
        <v/>
      </c>
      <c r="J36" s="3">
        <f>IF(OR(I36="",H36=""),"",I36*(H36*Supuestos!$B$3/(Supuestos!$B$2*4.33)))</f>
        <v/>
      </c>
      <c r="K36">
        <f>IF(I36="","",IF(AND(G36="A",I36&gt;=Supuestos!$B$8),"SÍ","no"))</f>
        <v/>
      </c>
    </row>
    <row r="37">
      <c r="E37">
        <f>IF(D37="diaria",5,IF(D37="semanal",1,IF(D37="quincenal",0.5,IF(D37="mensual",0.25,""))))</f>
        <v/>
      </c>
      <c r="I37" s="2">
        <f>IF(OR(E37="",F37=""),"",E37*F37/60*Supuestos!$B$4)</f>
        <v/>
      </c>
      <c r="J37" s="3">
        <f>IF(OR(I37="",H37=""),"",I37*(H37*Supuestos!$B$3/(Supuestos!$B$2*4.33)))</f>
        <v/>
      </c>
      <c r="K37">
        <f>IF(I37="","",IF(AND(G37="A",I37&gt;=Supuestos!$B$8),"SÍ","no"))</f>
        <v/>
      </c>
    </row>
    <row r="38">
      <c r="E38">
        <f>IF(D38="diaria",5,IF(D38="semanal",1,IF(D38="quincenal",0.5,IF(D38="mensual",0.25,""))))</f>
        <v/>
      </c>
      <c r="I38" s="2">
        <f>IF(OR(E38="",F38=""),"",E38*F38/60*Supuestos!$B$4)</f>
        <v/>
      </c>
      <c r="J38" s="3">
        <f>IF(OR(I38="",H38=""),"",I38*(H38*Supuestos!$B$3/(Supuestos!$B$2*4.33)))</f>
        <v/>
      </c>
      <c r="K38">
        <f>IF(I38="","",IF(AND(G38="A",I38&gt;=Supuestos!$B$8),"SÍ","no"))</f>
        <v/>
      </c>
    </row>
    <row r="39">
      <c r="E39">
        <f>IF(D39="diaria",5,IF(D39="semanal",1,IF(D39="quincenal",0.5,IF(D39="mensual",0.25,""))))</f>
        <v/>
      </c>
      <c r="I39" s="2">
        <f>IF(OR(E39="",F39=""),"",E39*F39/60*Supuestos!$B$4)</f>
        <v/>
      </c>
      <c r="J39" s="3">
        <f>IF(OR(I39="",H39=""),"",I39*(H39*Supuestos!$B$3/(Supuestos!$B$2*4.33)))</f>
        <v/>
      </c>
      <c r="K39">
        <f>IF(I39="","",IF(AND(G39="A",I39&gt;=Supuestos!$B$8),"SÍ","no"))</f>
        <v/>
      </c>
    </row>
    <row r="40">
      <c r="E40">
        <f>IF(D40="diaria",5,IF(D40="semanal",1,IF(D40="quincenal",0.5,IF(D40="mensual",0.25,""))))</f>
        <v/>
      </c>
      <c r="I40" s="2">
        <f>IF(OR(E40="",F40=""),"",E40*F40/60*Supuestos!$B$4)</f>
        <v/>
      </c>
      <c r="J40" s="3">
        <f>IF(OR(I40="",H40=""),"",I40*(H40*Supuestos!$B$3/(Supuestos!$B$2*4.33)))</f>
        <v/>
      </c>
      <c r="K40">
        <f>IF(I40="","",IF(AND(G40="A",I40&gt;=Supuestos!$B$8),"SÍ","no"))</f>
        <v/>
      </c>
    </row>
    <row r="41">
      <c r="E41">
        <f>IF(D41="diaria",5,IF(D41="semanal",1,IF(D41="quincenal",0.5,IF(D41="mensual",0.25,""))))</f>
        <v/>
      </c>
      <c r="I41" s="2">
        <f>IF(OR(E41="",F41=""),"",E41*F41/60*Supuestos!$B$4)</f>
        <v/>
      </c>
      <c r="J41" s="3">
        <f>IF(OR(I41="",H41=""),"",I41*(H41*Supuestos!$B$3/(Supuestos!$B$2*4.33)))</f>
        <v/>
      </c>
      <c r="K41">
        <f>IF(I41="","",IF(AND(G41="A",I41&gt;=Supuestos!$B$8),"SÍ","no"))</f>
        <v/>
      </c>
    </row>
    <row r="42">
      <c r="E42">
        <f>IF(D42="diaria",5,IF(D42="semanal",1,IF(D42="quincenal",0.5,IF(D42="mensual",0.25,""))))</f>
        <v/>
      </c>
      <c r="I42" s="2">
        <f>IF(OR(E42="",F42=""),"",E42*F42/60*Supuestos!$B$4)</f>
        <v/>
      </c>
      <c r="J42" s="3">
        <f>IF(OR(I42="",H42=""),"",I42*(H42*Supuestos!$B$3/(Supuestos!$B$2*4.33)))</f>
        <v/>
      </c>
      <c r="K42">
        <f>IF(I42="","",IF(AND(G42="A",I42&gt;=Supuestos!$B$8),"SÍ","no"))</f>
        <v/>
      </c>
    </row>
    <row r="43">
      <c r="E43">
        <f>IF(D43="diaria",5,IF(D43="semanal",1,IF(D43="quincenal",0.5,IF(D43="mensual",0.25,""))))</f>
        <v/>
      </c>
      <c r="I43" s="2">
        <f>IF(OR(E43="",F43=""),"",E43*F43/60*Supuestos!$B$4)</f>
        <v/>
      </c>
      <c r="J43" s="3">
        <f>IF(OR(I43="",H43=""),"",I43*(H43*Supuestos!$B$3/(Supuestos!$B$2*4.33)))</f>
        <v/>
      </c>
      <c r="K43">
        <f>IF(I43="","",IF(AND(G43="A",I43&gt;=Supuestos!$B$8),"SÍ","no"))</f>
        <v/>
      </c>
    </row>
    <row r="44">
      <c r="E44">
        <f>IF(D44="diaria",5,IF(D44="semanal",1,IF(D44="quincenal",0.5,IF(D44="mensual",0.25,""))))</f>
        <v/>
      </c>
      <c r="I44" s="2">
        <f>IF(OR(E44="",F44=""),"",E44*F44/60*Supuestos!$B$4)</f>
        <v/>
      </c>
      <c r="J44" s="3">
        <f>IF(OR(I44="",H44=""),"",I44*(H44*Supuestos!$B$3/(Supuestos!$B$2*4.33)))</f>
        <v/>
      </c>
      <c r="K44">
        <f>IF(I44="","",IF(AND(G44="A",I44&gt;=Supuestos!$B$8),"SÍ","no"))</f>
        <v/>
      </c>
    </row>
    <row r="45">
      <c r="E45">
        <f>IF(D45="diaria",5,IF(D45="semanal",1,IF(D45="quincenal",0.5,IF(D45="mensual",0.25,""))))</f>
        <v/>
      </c>
      <c r="I45" s="2">
        <f>IF(OR(E45="",F45=""),"",E45*F45/60*Supuestos!$B$4)</f>
        <v/>
      </c>
      <c r="J45" s="3">
        <f>IF(OR(I45="",H45=""),"",I45*(H45*Supuestos!$B$3/(Supuestos!$B$2*4.33)))</f>
        <v/>
      </c>
      <c r="K45">
        <f>IF(I45="","",IF(AND(G45="A",I45&gt;=Supuestos!$B$8),"SÍ","no"))</f>
        <v/>
      </c>
    </row>
    <row r="46">
      <c r="E46">
        <f>IF(D46="diaria",5,IF(D46="semanal",1,IF(D46="quincenal",0.5,IF(D46="mensual",0.25,""))))</f>
        <v/>
      </c>
      <c r="I46" s="2">
        <f>IF(OR(E46="",F46=""),"",E46*F46/60*Supuestos!$B$4)</f>
        <v/>
      </c>
      <c r="J46" s="3">
        <f>IF(OR(I46="",H46=""),"",I46*(H46*Supuestos!$B$3/(Supuestos!$B$2*4.33)))</f>
        <v/>
      </c>
      <c r="K46">
        <f>IF(I46="","",IF(AND(G46="A",I46&gt;=Supuestos!$B$8),"SÍ","no"))</f>
        <v/>
      </c>
    </row>
    <row r="47">
      <c r="E47">
        <f>IF(D47="diaria",5,IF(D47="semanal",1,IF(D47="quincenal",0.5,IF(D47="mensual",0.25,""))))</f>
        <v/>
      </c>
      <c r="I47" s="2">
        <f>IF(OR(E47="",F47=""),"",E47*F47/60*Supuestos!$B$4)</f>
        <v/>
      </c>
      <c r="J47" s="3">
        <f>IF(OR(I47="",H47=""),"",I47*(H47*Supuestos!$B$3/(Supuestos!$B$2*4.33)))</f>
        <v/>
      </c>
      <c r="K47">
        <f>IF(I47="","",IF(AND(G47="A",I47&gt;=Supuestos!$B$8),"SÍ","no"))</f>
        <v/>
      </c>
    </row>
    <row r="48">
      <c r="E48">
        <f>IF(D48="diaria",5,IF(D48="semanal",1,IF(D48="quincenal",0.5,IF(D48="mensual",0.25,""))))</f>
        <v/>
      </c>
      <c r="I48" s="2">
        <f>IF(OR(E48="",F48=""),"",E48*F48/60*Supuestos!$B$4)</f>
        <v/>
      </c>
      <c r="J48" s="3">
        <f>IF(OR(I48="",H48=""),"",I48*(H48*Supuestos!$B$3/(Supuestos!$B$2*4.33)))</f>
        <v/>
      </c>
      <c r="K48">
        <f>IF(I48="","",IF(AND(G48="A",I48&gt;=Supuestos!$B$8),"SÍ","no"))</f>
        <v/>
      </c>
    </row>
    <row r="49">
      <c r="E49">
        <f>IF(D49="diaria",5,IF(D49="semanal",1,IF(D49="quincenal",0.5,IF(D49="mensual",0.25,""))))</f>
        <v/>
      </c>
      <c r="I49" s="2">
        <f>IF(OR(E49="",F49=""),"",E49*F49/60*Supuestos!$B$4)</f>
        <v/>
      </c>
      <c r="J49" s="3">
        <f>IF(OR(I49="",H49=""),"",I49*(H49*Supuestos!$B$3/(Supuestos!$B$2*4.33)))</f>
        <v/>
      </c>
      <c r="K49">
        <f>IF(I49="","",IF(AND(G49="A",I49&gt;=Supuestos!$B$8),"SÍ","no"))</f>
        <v/>
      </c>
    </row>
    <row r="50">
      <c r="E50">
        <f>IF(D50="diaria",5,IF(D50="semanal",1,IF(D50="quincenal",0.5,IF(D50="mensual",0.25,""))))</f>
        <v/>
      </c>
      <c r="I50" s="2">
        <f>IF(OR(E50="",F50=""),"",E50*F50/60*Supuestos!$B$4)</f>
        <v/>
      </c>
      <c r="J50" s="3">
        <f>IF(OR(I50="",H50=""),"",I50*(H50*Supuestos!$B$3/(Supuestos!$B$2*4.33)))</f>
        <v/>
      </c>
      <c r="K50">
        <f>IF(I50="","",IF(AND(G50="A",I50&gt;=Supuestos!$B$8),"SÍ","no"))</f>
        <v/>
      </c>
    </row>
    <row r="51">
      <c r="E51">
        <f>IF(D51="diaria",5,IF(D51="semanal",1,IF(D51="quincenal",0.5,IF(D51="mensual",0.25,""))))</f>
        <v/>
      </c>
      <c r="I51" s="2">
        <f>IF(OR(E51="",F51=""),"",E51*F51/60*Supuestos!$B$4)</f>
        <v/>
      </c>
      <c r="J51" s="3">
        <f>IF(OR(I51="",H51=""),"",I51*(H51*Supuestos!$B$3/(Supuestos!$B$2*4.33)))</f>
        <v/>
      </c>
      <c r="K51">
        <f>IF(I51="","",IF(AND(G51="A",I51&gt;=Supuestos!$B$8),"SÍ","no"))</f>
        <v/>
      </c>
    </row>
    <row r="52">
      <c r="E52">
        <f>IF(D52="diaria",5,IF(D52="semanal",1,IF(D52="quincenal",0.5,IF(D52="mensual",0.25,""))))</f>
        <v/>
      </c>
      <c r="I52" s="2">
        <f>IF(OR(E52="",F52=""),"",E52*F52/60*Supuestos!$B$4)</f>
        <v/>
      </c>
      <c r="J52" s="3">
        <f>IF(OR(I52="",H52=""),"",I52*(H52*Supuestos!$B$3/(Supuestos!$B$2*4.33)))</f>
        <v/>
      </c>
      <c r="K52">
        <f>IF(I52="","",IF(AND(G52="A",I52&gt;=Supuestos!$B$8),"SÍ","no"))</f>
        <v/>
      </c>
    </row>
    <row r="53">
      <c r="E53">
        <f>IF(D53="diaria",5,IF(D53="semanal",1,IF(D53="quincenal",0.5,IF(D53="mensual",0.25,""))))</f>
        <v/>
      </c>
      <c r="I53" s="2">
        <f>IF(OR(E53="",F53=""),"",E53*F53/60*Supuestos!$B$4)</f>
        <v/>
      </c>
      <c r="J53" s="3">
        <f>IF(OR(I53="",H53=""),"",I53*(H53*Supuestos!$B$3/(Supuestos!$B$2*4.33)))</f>
        <v/>
      </c>
      <c r="K53">
        <f>IF(I53="","",IF(AND(G53="A",I53&gt;=Supuestos!$B$8),"SÍ","no"))</f>
        <v/>
      </c>
    </row>
    <row r="54">
      <c r="E54">
        <f>IF(D54="diaria",5,IF(D54="semanal",1,IF(D54="quincenal",0.5,IF(D54="mensual",0.25,""))))</f>
        <v/>
      </c>
      <c r="I54" s="2">
        <f>IF(OR(E54="",F54=""),"",E54*F54/60*Supuestos!$B$4)</f>
        <v/>
      </c>
      <c r="J54" s="3">
        <f>IF(OR(I54="",H54=""),"",I54*(H54*Supuestos!$B$3/(Supuestos!$B$2*4.33)))</f>
        <v/>
      </c>
      <c r="K54">
        <f>IF(I54="","",IF(AND(G54="A",I54&gt;=Supuestos!$B$8),"SÍ","no"))</f>
        <v/>
      </c>
    </row>
    <row r="55">
      <c r="E55">
        <f>IF(D55="diaria",5,IF(D55="semanal",1,IF(D55="quincenal",0.5,IF(D55="mensual",0.25,""))))</f>
        <v/>
      </c>
      <c r="I55" s="2">
        <f>IF(OR(E55="",F55=""),"",E55*F55/60*Supuestos!$B$4)</f>
        <v/>
      </c>
      <c r="J55" s="3">
        <f>IF(OR(I55="",H55=""),"",I55*(H55*Supuestos!$B$3/(Supuestos!$B$2*4.33)))</f>
        <v/>
      </c>
      <c r="K55">
        <f>IF(I55="","",IF(AND(G55="A",I55&gt;=Supuestos!$B$8),"SÍ","no"))</f>
        <v/>
      </c>
    </row>
    <row r="56">
      <c r="E56">
        <f>IF(D56="diaria",5,IF(D56="semanal",1,IF(D56="quincenal",0.5,IF(D56="mensual",0.25,""))))</f>
        <v/>
      </c>
      <c r="I56" s="2">
        <f>IF(OR(E56="",F56=""),"",E56*F56/60*Supuestos!$B$4)</f>
        <v/>
      </c>
      <c r="J56" s="3">
        <f>IF(OR(I56="",H56=""),"",I56*(H56*Supuestos!$B$3/(Supuestos!$B$2*4.33)))</f>
        <v/>
      </c>
      <c r="K56">
        <f>IF(I56="","",IF(AND(G56="A",I56&gt;=Supuestos!$B$8),"SÍ","no"))</f>
        <v/>
      </c>
    </row>
    <row r="57">
      <c r="E57">
        <f>IF(D57="diaria",5,IF(D57="semanal",1,IF(D57="quincenal",0.5,IF(D57="mensual",0.25,""))))</f>
        <v/>
      </c>
      <c r="I57" s="2">
        <f>IF(OR(E57="",F57=""),"",E57*F57/60*Supuestos!$B$4)</f>
        <v/>
      </c>
      <c r="J57" s="3">
        <f>IF(OR(I57="",H57=""),"",I57*(H57*Supuestos!$B$3/(Supuestos!$B$2*4.33)))</f>
        <v/>
      </c>
      <c r="K57">
        <f>IF(I57="","",IF(AND(G57="A",I57&gt;=Supuestos!$B$8),"SÍ","no"))</f>
        <v/>
      </c>
    </row>
    <row r="58">
      <c r="E58">
        <f>IF(D58="diaria",5,IF(D58="semanal",1,IF(D58="quincenal",0.5,IF(D58="mensual",0.25,""))))</f>
        <v/>
      </c>
      <c r="I58" s="2">
        <f>IF(OR(E58="",F58=""),"",E58*F58/60*Supuestos!$B$4)</f>
        <v/>
      </c>
      <c r="J58" s="3">
        <f>IF(OR(I58="",H58=""),"",I58*(H58*Supuestos!$B$3/(Supuestos!$B$2*4.33)))</f>
        <v/>
      </c>
      <c r="K58">
        <f>IF(I58="","",IF(AND(G58="A",I58&gt;=Supuestos!$B$8),"SÍ","no"))</f>
        <v/>
      </c>
    </row>
    <row r="59">
      <c r="E59">
        <f>IF(D59="diaria",5,IF(D59="semanal",1,IF(D59="quincenal",0.5,IF(D59="mensual",0.25,""))))</f>
        <v/>
      </c>
      <c r="I59" s="2">
        <f>IF(OR(E59="",F59=""),"",E59*F59/60*Supuestos!$B$4)</f>
        <v/>
      </c>
      <c r="J59" s="3">
        <f>IF(OR(I59="",H59=""),"",I59*(H59*Supuestos!$B$3/(Supuestos!$B$2*4.33)))</f>
        <v/>
      </c>
      <c r="K59">
        <f>IF(I59="","",IF(AND(G59="A",I59&gt;=Supuestos!$B$8),"SÍ","no"))</f>
        <v/>
      </c>
    </row>
    <row r="60">
      <c r="E60">
        <f>IF(D60="diaria",5,IF(D60="semanal",1,IF(D60="quincenal",0.5,IF(D60="mensual",0.25,""))))</f>
        <v/>
      </c>
      <c r="I60" s="2">
        <f>IF(OR(E60="",F60=""),"",E60*F60/60*Supuestos!$B$4)</f>
        <v/>
      </c>
      <c r="J60" s="3">
        <f>IF(OR(I60="",H60=""),"",I60*(H60*Supuestos!$B$3/(Supuestos!$B$2*4.33)))</f>
        <v/>
      </c>
      <c r="K60">
        <f>IF(I60="","",IF(AND(G60="A",I60&gt;=Supuestos!$B$8),"SÍ","no"))</f>
        <v/>
      </c>
    </row>
    <row r="61">
      <c r="E61">
        <f>IF(D61="diaria",5,IF(D61="semanal",1,IF(D61="quincenal",0.5,IF(D61="mensual",0.25,""))))</f>
        <v/>
      </c>
      <c r="I61" s="2">
        <f>IF(OR(E61="",F61=""),"",E61*F61/60*Supuestos!$B$4)</f>
        <v/>
      </c>
      <c r="J61" s="3">
        <f>IF(OR(I61="",H61=""),"",I61*(H61*Supuestos!$B$3/(Supuestos!$B$2*4.33)))</f>
        <v/>
      </c>
      <c r="K61">
        <f>IF(I61="","",IF(AND(G61="A",I61&gt;=Supuestos!$B$8),"SÍ","no"))</f>
        <v/>
      </c>
    </row>
    <row r="62">
      <c r="E62">
        <f>IF(D62="diaria",5,IF(D62="semanal",1,IF(D62="quincenal",0.5,IF(D62="mensual",0.25,""))))</f>
        <v/>
      </c>
      <c r="I62" s="2">
        <f>IF(OR(E62="",F62=""),"",E62*F62/60*Supuestos!$B$4)</f>
        <v/>
      </c>
      <c r="J62" s="3">
        <f>IF(OR(I62="",H62=""),"",I62*(H62*Supuestos!$B$3/(Supuestos!$B$2*4.33)))</f>
        <v/>
      </c>
      <c r="K62">
        <f>IF(I62="","",IF(AND(G62="A",I62&gt;=Supuestos!$B$8),"SÍ","no"))</f>
        <v/>
      </c>
    </row>
    <row r="63">
      <c r="E63">
        <f>IF(D63="diaria",5,IF(D63="semanal",1,IF(D63="quincenal",0.5,IF(D63="mensual",0.25,""))))</f>
        <v/>
      </c>
      <c r="I63" s="2">
        <f>IF(OR(E63="",F63=""),"",E63*F63/60*Supuestos!$B$4)</f>
        <v/>
      </c>
      <c r="J63" s="3">
        <f>IF(OR(I63="",H63=""),"",I63*(H63*Supuestos!$B$3/(Supuestos!$B$2*4.33)))</f>
        <v/>
      </c>
      <c r="K63">
        <f>IF(I63="","",IF(AND(G63="A",I63&gt;=Supuestos!$B$8),"SÍ","no"))</f>
        <v/>
      </c>
    </row>
    <row r="64">
      <c r="E64">
        <f>IF(D64="diaria",5,IF(D64="semanal",1,IF(D64="quincenal",0.5,IF(D64="mensual",0.25,""))))</f>
        <v/>
      </c>
      <c r="I64" s="2">
        <f>IF(OR(E64="",F64=""),"",E64*F64/60*Supuestos!$B$4)</f>
        <v/>
      </c>
      <c r="J64" s="3">
        <f>IF(OR(I64="",H64=""),"",I64*(H64*Supuestos!$B$3/(Supuestos!$B$2*4.33)))</f>
        <v/>
      </c>
      <c r="K64">
        <f>IF(I64="","",IF(AND(G64="A",I64&gt;=Supuestos!$B$8),"SÍ","no"))</f>
        <v/>
      </c>
    </row>
    <row r="65">
      <c r="E65">
        <f>IF(D65="diaria",5,IF(D65="semanal",1,IF(D65="quincenal",0.5,IF(D65="mensual",0.25,""))))</f>
        <v/>
      </c>
      <c r="I65" s="2">
        <f>IF(OR(E65="",F65=""),"",E65*F65/60*Supuestos!$B$4)</f>
        <v/>
      </c>
      <c r="J65" s="3">
        <f>IF(OR(I65="",H65=""),"",I65*(H65*Supuestos!$B$3/(Supuestos!$B$2*4.33)))</f>
        <v/>
      </c>
      <c r="K65">
        <f>IF(I65="","",IF(AND(G65="A",I65&gt;=Supuestos!$B$8),"SÍ","no"))</f>
        <v/>
      </c>
    </row>
    <row r="66">
      <c r="E66">
        <f>IF(D66="diaria",5,IF(D66="semanal",1,IF(D66="quincenal",0.5,IF(D66="mensual",0.25,""))))</f>
        <v/>
      </c>
      <c r="I66" s="2">
        <f>IF(OR(E66="",F66=""),"",E66*F66/60*Supuestos!$B$4)</f>
        <v/>
      </c>
      <c r="J66" s="3">
        <f>IF(OR(I66="",H66=""),"",I66*(H66*Supuestos!$B$3/(Supuestos!$B$2*4.33)))</f>
        <v/>
      </c>
      <c r="K66">
        <f>IF(I66="","",IF(AND(G66="A",I66&gt;=Supuestos!$B$8),"SÍ","no"))</f>
        <v/>
      </c>
    </row>
    <row r="67">
      <c r="E67">
        <f>IF(D67="diaria",5,IF(D67="semanal",1,IF(D67="quincenal",0.5,IF(D67="mensual",0.25,""))))</f>
        <v/>
      </c>
      <c r="I67" s="2">
        <f>IF(OR(E67="",F67=""),"",E67*F67/60*Supuestos!$B$4)</f>
        <v/>
      </c>
      <c r="J67" s="3">
        <f>IF(OR(I67="",H67=""),"",I67*(H67*Supuestos!$B$3/(Supuestos!$B$2*4.33)))</f>
        <v/>
      </c>
      <c r="K67">
        <f>IF(I67="","",IF(AND(G67="A",I67&gt;=Supuestos!$B$8),"SÍ","no"))</f>
        <v/>
      </c>
    </row>
    <row r="68">
      <c r="E68">
        <f>IF(D68="diaria",5,IF(D68="semanal",1,IF(D68="quincenal",0.5,IF(D68="mensual",0.25,""))))</f>
        <v/>
      </c>
      <c r="I68" s="2">
        <f>IF(OR(E68="",F68=""),"",E68*F68/60*Supuestos!$B$4)</f>
        <v/>
      </c>
      <c r="J68" s="3">
        <f>IF(OR(I68="",H68=""),"",I68*(H68*Supuestos!$B$3/(Supuestos!$B$2*4.33)))</f>
        <v/>
      </c>
      <c r="K68">
        <f>IF(I68="","",IF(AND(G68="A",I68&gt;=Supuestos!$B$8),"SÍ","no"))</f>
        <v/>
      </c>
    </row>
    <row r="69">
      <c r="E69">
        <f>IF(D69="diaria",5,IF(D69="semanal",1,IF(D69="quincenal",0.5,IF(D69="mensual",0.25,""))))</f>
        <v/>
      </c>
      <c r="I69" s="2">
        <f>IF(OR(E69="",F69=""),"",E69*F69/60*Supuestos!$B$4)</f>
        <v/>
      </c>
      <c r="J69" s="3">
        <f>IF(OR(I69="",H69=""),"",I69*(H69*Supuestos!$B$3/(Supuestos!$B$2*4.33)))</f>
        <v/>
      </c>
      <c r="K69">
        <f>IF(I69="","",IF(AND(G69="A",I69&gt;=Supuestos!$B$8),"SÍ","no"))</f>
        <v/>
      </c>
    </row>
    <row r="70">
      <c r="E70">
        <f>IF(D70="diaria",5,IF(D70="semanal",1,IF(D70="quincenal",0.5,IF(D70="mensual",0.25,""))))</f>
        <v/>
      </c>
      <c r="I70" s="2">
        <f>IF(OR(E70="",F70=""),"",E70*F70/60*Supuestos!$B$4)</f>
        <v/>
      </c>
      <c r="J70" s="3">
        <f>IF(OR(I70="",H70=""),"",I70*(H70*Supuestos!$B$3/(Supuestos!$B$2*4.33)))</f>
        <v/>
      </c>
      <c r="K70">
        <f>IF(I70="","",IF(AND(G70="A",I70&gt;=Supuestos!$B$8),"SÍ","no"))</f>
        <v/>
      </c>
    </row>
    <row r="71">
      <c r="E71">
        <f>IF(D71="diaria",5,IF(D71="semanal",1,IF(D71="quincenal",0.5,IF(D71="mensual",0.25,""))))</f>
        <v/>
      </c>
      <c r="I71" s="2">
        <f>IF(OR(E71="",F71=""),"",E71*F71/60*Supuestos!$B$4)</f>
        <v/>
      </c>
      <c r="J71" s="3">
        <f>IF(OR(I71="",H71=""),"",I71*(H71*Supuestos!$B$3/(Supuestos!$B$2*4.33)))</f>
        <v/>
      </c>
      <c r="K71">
        <f>IF(I71="","",IF(AND(G71="A",I71&gt;=Supuestos!$B$8),"SÍ","no"))</f>
        <v/>
      </c>
    </row>
    <row r="72">
      <c r="E72">
        <f>IF(D72="diaria",5,IF(D72="semanal",1,IF(D72="quincenal",0.5,IF(D72="mensual",0.25,""))))</f>
        <v/>
      </c>
      <c r="I72" s="2">
        <f>IF(OR(E72="",F72=""),"",E72*F72/60*Supuestos!$B$4)</f>
        <v/>
      </c>
      <c r="J72" s="3">
        <f>IF(OR(I72="",H72=""),"",I72*(H72*Supuestos!$B$3/(Supuestos!$B$2*4.33)))</f>
        <v/>
      </c>
      <c r="K72">
        <f>IF(I72="","",IF(AND(G72="A",I72&gt;=Supuestos!$B$8),"SÍ","no"))</f>
        <v/>
      </c>
    </row>
    <row r="73">
      <c r="E73">
        <f>IF(D73="diaria",5,IF(D73="semanal",1,IF(D73="quincenal",0.5,IF(D73="mensual",0.25,""))))</f>
        <v/>
      </c>
      <c r="I73" s="2">
        <f>IF(OR(E73="",F73=""),"",E73*F73/60*Supuestos!$B$4)</f>
        <v/>
      </c>
      <c r="J73" s="3">
        <f>IF(OR(I73="",H73=""),"",I73*(H73*Supuestos!$B$3/(Supuestos!$B$2*4.33)))</f>
        <v/>
      </c>
      <c r="K73">
        <f>IF(I73="","",IF(AND(G73="A",I73&gt;=Supuestos!$B$8),"SÍ","no"))</f>
        <v/>
      </c>
    </row>
    <row r="74">
      <c r="E74">
        <f>IF(D74="diaria",5,IF(D74="semanal",1,IF(D74="quincenal",0.5,IF(D74="mensual",0.25,""))))</f>
        <v/>
      </c>
      <c r="I74" s="2">
        <f>IF(OR(E74="",F74=""),"",E74*F74/60*Supuestos!$B$4)</f>
        <v/>
      </c>
      <c r="J74" s="3">
        <f>IF(OR(I74="",H74=""),"",I74*(H74*Supuestos!$B$3/(Supuestos!$B$2*4.33)))</f>
        <v/>
      </c>
      <c r="K74">
        <f>IF(I74="","",IF(AND(G74="A",I74&gt;=Supuestos!$B$8),"SÍ","no"))</f>
        <v/>
      </c>
    </row>
    <row r="75">
      <c r="E75">
        <f>IF(D75="diaria",5,IF(D75="semanal",1,IF(D75="quincenal",0.5,IF(D75="mensual",0.25,""))))</f>
        <v/>
      </c>
      <c r="I75" s="2">
        <f>IF(OR(E75="",F75=""),"",E75*F75/60*Supuestos!$B$4)</f>
        <v/>
      </c>
      <c r="J75" s="3">
        <f>IF(OR(I75="",H75=""),"",I75*(H75*Supuestos!$B$3/(Supuestos!$B$2*4.33)))</f>
        <v/>
      </c>
      <c r="K75">
        <f>IF(I75="","",IF(AND(G75="A",I75&gt;=Supuestos!$B$8),"SÍ","no"))</f>
        <v/>
      </c>
    </row>
    <row r="76">
      <c r="E76">
        <f>IF(D76="diaria",5,IF(D76="semanal",1,IF(D76="quincenal",0.5,IF(D76="mensual",0.25,""))))</f>
        <v/>
      </c>
      <c r="I76" s="2">
        <f>IF(OR(E76="",F76=""),"",E76*F76/60*Supuestos!$B$4)</f>
        <v/>
      </c>
      <c r="J76" s="3">
        <f>IF(OR(I76="",H76=""),"",I76*(H76*Supuestos!$B$3/(Supuestos!$B$2*4.33)))</f>
        <v/>
      </c>
      <c r="K76">
        <f>IF(I76="","",IF(AND(G76="A",I76&gt;=Supuestos!$B$8),"SÍ","no"))</f>
        <v/>
      </c>
    </row>
    <row r="77">
      <c r="E77">
        <f>IF(D77="diaria",5,IF(D77="semanal",1,IF(D77="quincenal",0.5,IF(D77="mensual",0.25,""))))</f>
        <v/>
      </c>
      <c r="I77" s="2">
        <f>IF(OR(E77="",F77=""),"",E77*F77/60*Supuestos!$B$4)</f>
        <v/>
      </c>
      <c r="J77" s="3">
        <f>IF(OR(I77="",H77=""),"",I77*(H77*Supuestos!$B$3/(Supuestos!$B$2*4.33)))</f>
        <v/>
      </c>
      <c r="K77">
        <f>IF(I77="","",IF(AND(G77="A",I77&gt;=Supuestos!$B$8),"SÍ","no"))</f>
        <v/>
      </c>
    </row>
    <row r="78">
      <c r="E78">
        <f>IF(D78="diaria",5,IF(D78="semanal",1,IF(D78="quincenal",0.5,IF(D78="mensual",0.25,""))))</f>
        <v/>
      </c>
      <c r="I78" s="2">
        <f>IF(OR(E78="",F78=""),"",E78*F78/60*Supuestos!$B$4)</f>
        <v/>
      </c>
      <c r="J78" s="3">
        <f>IF(OR(I78="",H78=""),"",I78*(H78*Supuestos!$B$3/(Supuestos!$B$2*4.33)))</f>
        <v/>
      </c>
      <c r="K78">
        <f>IF(I78="","",IF(AND(G78="A",I78&gt;=Supuestos!$B$8),"SÍ","no"))</f>
        <v/>
      </c>
    </row>
    <row r="79">
      <c r="E79">
        <f>IF(D79="diaria",5,IF(D79="semanal",1,IF(D79="quincenal",0.5,IF(D79="mensual",0.25,""))))</f>
        <v/>
      </c>
      <c r="I79" s="2">
        <f>IF(OR(E79="",F79=""),"",E79*F79/60*Supuestos!$B$4)</f>
        <v/>
      </c>
      <c r="J79" s="3">
        <f>IF(OR(I79="",H79=""),"",I79*(H79*Supuestos!$B$3/(Supuestos!$B$2*4.33)))</f>
        <v/>
      </c>
      <c r="K79">
        <f>IF(I79="","",IF(AND(G79="A",I79&gt;=Supuestos!$B$8),"SÍ","no"))</f>
        <v/>
      </c>
    </row>
    <row r="80">
      <c r="E80">
        <f>IF(D80="diaria",5,IF(D80="semanal",1,IF(D80="quincenal",0.5,IF(D80="mensual",0.25,""))))</f>
        <v/>
      </c>
      <c r="I80" s="2">
        <f>IF(OR(E80="",F80=""),"",E80*F80/60*Supuestos!$B$4)</f>
        <v/>
      </c>
      <c r="J80" s="3">
        <f>IF(OR(I80="",H80=""),"",I80*(H80*Supuestos!$B$3/(Supuestos!$B$2*4.33)))</f>
        <v/>
      </c>
      <c r="K80">
        <f>IF(I80="","",IF(AND(G80="A",I80&gt;=Supuestos!$B$8),"SÍ","no"))</f>
        <v/>
      </c>
    </row>
    <row r="81">
      <c r="E81">
        <f>IF(D81="diaria",5,IF(D81="semanal",1,IF(D81="quincenal",0.5,IF(D81="mensual",0.25,""))))</f>
        <v/>
      </c>
      <c r="I81" s="2">
        <f>IF(OR(E81="",F81=""),"",E81*F81/60*Supuestos!$B$4)</f>
        <v/>
      </c>
      <c r="J81" s="3">
        <f>IF(OR(I81="",H81=""),"",I81*(H81*Supuestos!$B$3/(Supuestos!$B$2*4.33)))</f>
        <v/>
      </c>
      <c r="K81">
        <f>IF(I81="","",IF(AND(G81="A",I81&gt;=Supuestos!$B$8),"SÍ","no"))</f>
        <v/>
      </c>
    </row>
    <row r="82">
      <c r="E82">
        <f>IF(D82="diaria",5,IF(D82="semanal",1,IF(D82="quincenal",0.5,IF(D82="mensual",0.25,""))))</f>
        <v/>
      </c>
      <c r="I82" s="2">
        <f>IF(OR(E82="",F82=""),"",E82*F82/60*Supuestos!$B$4)</f>
        <v/>
      </c>
      <c r="J82" s="3">
        <f>IF(OR(I82="",H82=""),"",I82*(H82*Supuestos!$B$3/(Supuestos!$B$2*4.33)))</f>
        <v/>
      </c>
      <c r="K82">
        <f>IF(I82="","",IF(AND(G82="A",I82&gt;=Supuestos!$B$8),"SÍ","no"))</f>
        <v/>
      </c>
    </row>
    <row r="83">
      <c r="E83">
        <f>IF(D83="diaria",5,IF(D83="semanal",1,IF(D83="quincenal",0.5,IF(D83="mensual",0.25,""))))</f>
        <v/>
      </c>
      <c r="I83" s="2">
        <f>IF(OR(E83="",F83=""),"",E83*F83/60*Supuestos!$B$4)</f>
        <v/>
      </c>
      <c r="J83" s="3">
        <f>IF(OR(I83="",H83=""),"",I83*(H83*Supuestos!$B$3/(Supuestos!$B$2*4.33)))</f>
        <v/>
      </c>
      <c r="K83">
        <f>IF(I83="","",IF(AND(G83="A",I83&gt;=Supuestos!$B$8),"SÍ","no"))</f>
        <v/>
      </c>
    </row>
    <row r="84">
      <c r="E84">
        <f>IF(D84="diaria",5,IF(D84="semanal",1,IF(D84="quincenal",0.5,IF(D84="mensual",0.25,""))))</f>
        <v/>
      </c>
      <c r="I84" s="2">
        <f>IF(OR(E84="",F84=""),"",E84*F84/60*Supuestos!$B$4)</f>
        <v/>
      </c>
      <c r="J84" s="3">
        <f>IF(OR(I84="",H84=""),"",I84*(H84*Supuestos!$B$3/(Supuestos!$B$2*4.33)))</f>
        <v/>
      </c>
      <c r="K84">
        <f>IF(I84="","",IF(AND(G84="A",I84&gt;=Supuestos!$B$8),"SÍ","no"))</f>
        <v/>
      </c>
    </row>
    <row r="85">
      <c r="E85">
        <f>IF(D85="diaria",5,IF(D85="semanal",1,IF(D85="quincenal",0.5,IF(D85="mensual",0.25,""))))</f>
        <v/>
      </c>
      <c r="I85" s="2">
        <f>IF(OR(E85="",F85=""),"",E85*F85/60*Supuestos!$B$4)</f>
        <v/>
      </c>
      <c r="J85" s="3">
        <f>IF(OR(I85="",H85=""),"",I85*(H85*Supuestos!$B$3/(Supuestos!$B$2*4.33)))</f>
        <v/>
      </c>
      <c r="K85">
        <f>IF(I85="","",IF(AND(G85="A",I85&gt;=Supuestos!$B$8),"SÍ","no"))</f>
        <v/>
      </c>
    </row>
    <row r="86">
      <c r="E86">
        <f>IF(D86="diaria",5,IF(D86="semanal",1,IF(D86="quincenal",0.5,IF(D86="mensual",0.25,""))))</f>
        <v/>
      </c>
      <c r="I86" s="2">
        <f>IF(OR(E86="",F86=""),"",E86*F86/60*Supuestos!$B$4)</f>
        <v/>
      </c>
      <c r="J86" s="3">
        <f>IF(OR(I86="",H86=""),"",I86*(H86*Supuestos!$B$3/(Supuestos!$B$2*4.33)))</f>
        <v/>
      </c>
      <c r="K86">
        <f>IF(I86="","",IF(AND(G86="A",I86&gt;=Supuestos!$B$8),"SÍ","no"))</f>
        <v/>
      </c>
    </row>
    <row r="87">
      <c r="E87">
        <f>IF(D87="diaria",5,IF(D87="semanal",1,IF(D87="quincenal",0.5,IF(D87="mensual",0.25,""))))</f>
        <v/>
      </c>
      <c r="I87" s="2">
        <f>IF(OR(E87="",F87=""),"",E87*F87/60*Supuestos!$B$4)</f>
        <v/>
      </c>
      <c r="J87" s="3">
        <f>IF(OR(I87="",H87=""),"",I87*(H87*Supuestos!$B$3/(Supuestos!$B$2*4.33)))</f>
        <v/>
      </c>
      <c r="K87">
        <f>IF(I87="","",IF(AND(G87="A",I87&gt;=Supuestos!$B$8),"SÍ","no"))</f>
        <v/>
      </c>
    </row>
    <row r="88">
      <c r="E88">
        <f>IF(D88="diaria",5,IF(D88="semanal",1,IF(D88="quincenal",0.5,IF(D88="mensual",0.25,""))))</f>
        <v/>
      </c>
      <c r="I88" s="2">
        <f>IF(OR(E88="",F88=""),"",E88*F88/60*Supuestos!$B$4)</f>
        <v/>
      </c>
      <c r="J88" s="3">
        <f>IF(OR(I88="",H88=""),"",I88*(H88*Supuestos!$B$3/(Supuestos!$B$2*4.33)))</f>
        <v/>
      </c>
      <c r="K88">
        <f>IF(I88="","",IF(AND(G88="A",I88&gt;=Supuestos!$B$8),"SÍ","no"))</f>
        <v/>
      </c>
    </row>
    <row r="89">
      <c r="E89">
        <f>IF(D89="diaria",5,IF(D89="semanal",1,IF(D89="quincenal",0.5,IF(D89="mensual",0.25,""))))</f>
        <v/>
      </c>
      <c r="I89" s="2">
        <f>IF(OR(E89="",F89=""),"",E89*F89/60*Supuestos!$B$4)</f>
        <v/>
      </c>
      <c r="J89" s="3">
        <f>IF(OR(I89="",H89=""),"",I89*(H89*Supuestos!$B$3/(Supuestos!$B$2*4.33)))</f>
        <v/>
      </c>
      <c r="K89">
        <f>IF(I89="","",IF(AND(G89="A",I89&gt;=Supuestos!$B$8),"SÍ","no"))</f>
        <v/>
      </c>
    </row>
    <row r="90">
      <c r="E90">
        <f>IF(D90="diaria",5,IF(D90="semanal",1,IF(D90="quincenal",0.5,IF(D90="mensual",0.25,""))))</f>
        <v/>
      </c>
      <c r="I90" s="2">
        <f>IF(OR(E90="",F90=""),"",E90*F90/60*Supuestos!$B$4)</f>
        <v/>
      </c>
      <c r="J90" s="3">
        <f>IF(OR(I90="",H90=""),"",I90*(H90*Supuestos!$B$3/(Supuestos!$B$2*4.33)))</f>
        <v/>
      </c>
      <c r="K90">
        <f>IF(I90="","",IF(AND(G90="A",I90&gt;=Supuestos!$B$8),"SÍ","no"))</f>
        <v/>
      </c>
    </row>
    <row r="91">
      <c r="E91">
        <f>IF(D91="diaria",5,IF(D91="semanal",1,IF(D91="quincenal",0.5,IF(D91="mensual",0.25,""))))</f>
        <v/>
      </c>
      <c r="I91" s="2">
        <f>IF(OR(E91="",F91=""),"",E91*F91/60*Supuestos!$B$4)</f>
        <v/>
      </c>
      <c r="J91" s="3">
        <f>IF(OR(I91="",H91=""),"",I91*(H91*Supuestos!$B$3/(Supuestos!$B$2*4.33)))</f>
        <v/>
      </c>
      <c r="K91">
        <f>IF(I91="","",IF(AND(G91="A",I91&gt;=Supuestos!$B$8),"SÍ","no"))</f>
        <v/>
      </c>
    </row>
    <row r="92">
      <c r="E92">
        <f>IF(D92="diaria",5,IF(D92="semanal",1,IF(D92="quincenal",0.5,IF(D92="mensual",0.25,""))))</f>
        <v/>
      </c>
      <c r="I92" s="2">
        <f>IF(OR(E92="",F92=""),"",E92*F92/60*Supuestos!$B$4)</f>
        <v/>
      </c>
      <c r="J92" s="3">
        <f>IF(OR(I92="",H92=""),"",I92*(H92*Supuestos!$B$3/(Supuestos!$B$2*4.33)))</f>
        <v/>
      </c>
      <c r="K92">
        <f>IF(I92="","",IF(AND(G92="A",I92&gt;=Supuestos!$B$8),"SÍ","no"))</f>
        <v/>
      </c>
    </row>
    <row r="93">
      <c r="E93">
        <f>IF(D93="diaria",5,IF(D93="semanal",1,IF(D93="quincenal",0.5,IF(D93="mensual",0.25,""))))</f>
        <v/>
      </c>
      <c r="I93" s="2">
        <f>IF(OR(E93="",F93=""),"",E93*F93/60*Supuestos!$B$4)</f>
        <v/>
      </c>
      <c r="J93" s="3">
        <f>IF(OR(I93="",H93=""),"",I93*(H93*Supuestos!$B$3/(Supuestos!$B$2*4.33)))</f>
        <v/>
      </c>
      <c r="K93">
        <f>IF(I93="","",IF(AND(G93="A",I93&gt;=Supuestos!$B$8),"SÍ","no"))</f>
        <v/>
      </c>
    </row>
    <row r="94">
      <c r="E94">
        <f>IF(D94="diaria",5,IF(D94="semanal",1,IF(D94="quincenal",0.5,IF(D94="mensual",0.25,""))))</f>
        <v/>
      </c>
      <c r="I94" s="2">
        <f>IF(OR(E94="",F94=""),"",E94*F94/60*Supuestos!$B$4)</f>
        <v/>
      </c>
      <c r="J94" s="3">
        <f>IF(OR(I94="",H94=""),"",I94*(H94*Supuestos!$B$3/(Supuestos!$B$2*4.33)))</f>
        <v/>
      </c>
      <c r="K94">
        <f>IF(I94="","",IF(AND(G94="A",I94&gt;=Supuestos!$B$8),"SÍ","no"))</f>
        <v/>
      </c>
    </row>
    <row r="95">
      <c r="E95">
        <f>IF(D95="diaria",5,IF(D95="semanal",1,IF(D95="quincenal",0.5,IF(D95="mensual",0.25,""))))</f>
        <v/>
      </c>
      <c r="I95" s="2">
        <f>IF(OR(E95="",F95=""),"",E95*F95/60*Supuestos!$B$4)</f>
        <v/>
      </c>
      <c r="J95" s="3">
        <f>IF(OR(I95="",H95=""),"",I95*(H95*Supuestos!$B$3/(Supuestos!$B$2*4.33)))</f>
        <v/>
      </c>
      <c r="K95">
        <f>IF(I95="","",IF(AND(G95="A",I95&gt;=Supuestos!$B$8),"SÍ","no"))</f>
        <v/>
      </c>
    </row>
    <row r="96">
      <c r="E96">
        <f>IF(D96="diaria",5,IF(D96="semanal",1,IF(D96="quincenal",0.5,IF(D96="mensual",0.25,""))))</f>
        <v/>
      </c>
      <c r="I96" s="2">
        <f>IF(OR(E96="",F96=""),"",E96*F96/60*Supuestos!$B$4)</f>
        <v/>
      </c>
      <c r="J96" s="3">
        <f>IF(OR(I96="",H96=""),"",I96*(H96*Supuestos!$B$3/(Supuestos!$B$2*4.33)))</f>
        <v/>
      </c>
      <c r="K96">
        <f>IF(I96="","",IF(AND(G96="A",I96&gt;=Supuestos!$B$8),"SÍ","no"))</f>
        <v/>
      </c>
    </row>
    <row r="97">
      <c r="E97">
        <f>IF(D97="diaria",5,IF(D97="semanal",1,IF(D97="quincenal",0.5,IF(D97="mensual",0.25,""))))</f>
        <v/>
      </c>
      <c r="I97" s="2">
        <f>IF(OR(E97="",F97=""),"",E97*F97/60*Supuestos!$B$4)</f>
        <v/>
      </c>
      <c r="J97" s="3">
        <f>IF(OR(I97="",H97=""),"",I97*(H97*Supuestos!$B$3/(Supuestos!$B$2*4.33)))</f>
        <v/>
      </c>
      <c r="K97">
        <f>IF(I97="","",IF(AND(G97="A",I97&gt;=Supuestos!$B$8),"SÍ","no"))</f>
        <v/>
      </c>
    </row>
    <row r="98">
      <c r="E98">
        <f>IF(D98="diaria",5,IF(D98="semanal",1,IF(D98="quincenal",0.5,IF(D98="mensual",0.25,""))))</f>
        <v/>
      </c>
      <c r="I98" s="2">
        <f>IF(OR(E98="",F98=""),"",E98*F98/60*Supuestos!$B$4)</f>
        <v/>
      </c>
      <c r="J98" s="3">
        <f>IF(OR(I98="",H98=""),"",I98*(H98*Supuestos!$B$3/(Supuestos!$B$2*4.33)))</f>
        <v/>
      </c>
      <c r="K98">
        <f>IF(I98="","",IF(AND(G98="A",I98&gt;=Supuestos!$B$8),"SÍ","no"))</f>
        <v/>
      </c>
    </row>
    <row r="99">
      <c r="E99">
        <f>IF(D99="diaria",5,IF(D99="semanal",1,IF(D99="quincenal",0.5,IF(D99="mensual",0.25,""))))</f>
        <v/>
      </c>
      <c r="I99" s="2">
        <f>IF(OR(E99="",F99=""),"",E99*F99/60*Supuestos!$B$4)</f>
        <v/>
      </c>
      <c r="J99" s="3">
        <f>IF(OR(I99="",H99=""),"",I99*(H99*Supuestos!$B$3/(Supuestos!$B$2*4.33)))</f>
        <v/>
      </c>
      <c r="K99">
        <f>IF(I99="","",IF(AND(G99="A",I99&gt;=Supuestos!$B$8),"SÍ","no"))</f>
        <v/>
      </c>
    </row>
    <row r="100">
      <c r="E100">
        <f>IF(D100="diaria",5,IF(D100="semanal",1,IF(D100="quincenal",0.5,IF(D100="mensual",0.25,""))))</f>
        <v/>
      </c>
      <c r="I100" s="2">
        <f>IF(OR(E100="",F100=""),"",E100*F100/60*Supuestos!$B$4)</f>
        <v/>
      </c>
      <c r="J100" s="3">
        <f>IF(OR(I100="",H100=""),"",I100*(H100*Supuestos!$B$3/(Supuestos!$B$2*4.33)))</f>
        <v/>
      </c>
      <c r="K100">
        <f>IF(I100="","",IF(AND(G100="A",I100&gt;=Supuestos!$B$8),"SÍ","no"))</f>
        <v/>
      </c>
    </row>
    <row r="101">
      <c r="E101">
        <f>IF(D101="diaria",5,IF(D101="semanal",1,IF(D101="quincenal",0.5,IF(D101="mensual",0.25,""))))</f>
        <v/>
      </c>
      <c r="I101" s="2">
        <f>IF(OR(E101="",F101=""),"",E101*F101/60*Supuestos!$B$4)</f>
        <v/>
      </c>
      <c r="J101" s="3">
        <f>IF(OR(I101="",H101=""),"",I101*(H101*Supuestos!$B$3/(Supuestos!$B$2*4.33)))</f>
        <v/>
      </c>
      <c r="K101">
        <f>IF(I101="","",IF(AND(G101="A",I101&gt;=Supuestos!$B$8),"SÍ","no"))</f>
        <v/>
      </c>
    </row>
    <row r="102">
      <c r="E102">
        <f>IF(D102="diaria",5,IF(D102="semanal",1,IF(D102="quincenal",0.5,IF(D102="mensual",0.25,""))))</f>
        <v/>
      </c>
      <c r="I102" s="2">
        <f>IF(OR(E102="",F102=""),"",E102*F102/60*Supuestos!$B$4)</f>
        <v/>
      </c>
      <c r="J102" s="3">
        <f>IF(OR(I102="",H102=""),"",I102*(H102*Supuestos!$B$3/(Supuestos!$B$2*4.33)))</f>
        <v/>
      </c>
      <c r="K102">
        <f>IF(I102="","",IF(AND(G102="A",I102&gt;=Supuestos!$B$8),"SÍ","no"))</f>
        <v/>
      </c>
    </row>
    <row r="103">
      <c r="E103">
        <f>IF(D103="diaria",5,IF(D103="semanal",1,IF(D103="quincenal",0.5,IF(D103="mensual",0.25,""))))</f>
        <v/>
      </c>
      <c r="I103" s="2">
        <f>IF(OR(E103="",F103=""),"",E103*F103/60*Supuestos!$B$4)</f>
        <v/>
      </c>
      <c r="J103" s="3">
        <f>IF(OR(I103="",H103=""),"",I103*(H103*Supuestos!$B$3/(Supuestos!$B$2*4.33)))</f>
        <v/>
      </c>
      <c r="K103">
        <f>IF(I103="","",IF(AND(G103="A",I103&gt;=Supuestos!$B$8),"SÍ","no"))</f>
        <v/>
      </c>
    </row>
    <row r="104">
      <c r="E104">
        <f>IF(D104="diaria",5,IF(D104="semanal",1,IF(D104="quincenal",0.5,IF(D104="mensual",0.25,""))))</f>
        <v/>
      </c>
      <c r="I104" s="2">
        <f>IF(OR(E104="",F104=""),"",E104*F104/60*Supuestos!$B$4)</f>
        <v/>
      </c>
      <c r="J104" s="3">
        <f>IF(OR(I104="",H104=""),"",I104*(H104*Supuestos!$B$3/(Supuestos!$B$2*4.33)))</f>
        <v/>
      </c>
      <c r="K104">
        <f>IF(I104="","",IF(AND(G104="A",I104&gt;=Supuestos!$B$8),"SÍ","no"))</f>
        <v/>
      </c>
    </row>
    <row r="105">
      <c r="E105">
        <f>IF(D105="diaria",5,IF(D105="semanal",1,IF(D105="quincenal",0.5,IF(D105="mensual",0.25,""))))</f>
        <v/>
      </c>
      <c r="I105" s="2">
        <f>IF(OR(E105="",F105=""),"",E105*F105/60*Supuestos!$B$4)</f>
        <v/>
      </c>
      <c r="J105" s="3">
        <f>IF(OR(I105="",H105=""),"",I105*(H105*Supuestos!$B$3/(Supuestos!$B$2*4.33)))</f>
        <v/>
      </c>
      <c r="K105">
        <f>IF(I105="","",IF(AND(G105="A",I105&gt;=Supuestos!$B$8),"SÍ","no"))</f>
        <v/>
      </c>
    </row>
    <row r="106">
      <c r="E106">
        <f>IF(D106="diaria",5,IF(D106="semanal",1,IF(D106="quincenal",0.5,IF(D106="mensual",0.25,""))))</f>
        <v/>
      </c>
      <c r="I106" s="2">
        <f>IF(OR(E106="",F106=""),"",E106*F106/60*Supuestos!$B$4)</f>
        <v/>
      </c>
      <c r="J106" s="3">
        <f>IF(OR(I106="",H106=""),"",I106*(H106*Supuestos!$B$3/(Supuestos!$B$2*4.33)))</f>
        <v/>
      </c>
      <c r="K106">
        <f>IF(I106="","",IF(AND(G106="A",I106&gt;=Supuestos!$B$8),"SÍ","no"))</f>
        <v/>
      </c>
    </row>
    <row r="107">
      <c r="E107">
        <f>IF(D107="diaria",5,IF(D107="semanal",1,IF(D107="quincenal",0.5,IF(D107="mensual",0.25,""))))</f>
        <v/>
      </c>
      <c r="I107" s="2">
        <f>IF(OR(E107="",F107=""),"",E107*F107/60*Supuestos!$B$4)</f>
        <v/>
      </c>
      <c r="J107" s="3">
        <f>IF(OR(I107="",H107=""),"",I107*(H107*Supuestos!$B$3/(Supuestos!$B$2*4.33)))</f>
        <v/>
      </c>
      <c r="K107">
        <f>IF(I107="","",IF(AND(G107="A",I107&gt;=Supuestos!$B$8),"SÍ","no"))</f>
        <v/>
      </c>
    </row>
    <row r="108">
      <c r="E108">
        <f>IF(D108="diaria",5,IF(D108="semanal",1,IF(D108="quincenal",0.5,IF(D108="mensual",0.25,""))))</f>
        <v/>
      </c>
      <c r="I108" s="2">
        <f>IF(OR(E108="",F108=""),"",E108*F108/60*Supuestos!$B$4)</f>
        <v/>
      </c>
      <c r="J108" s="3">
        <f>IF(OR(I108="",H108=""),"",I108*(H108*Supuestos!$B$3/(Supuestos!$B$2*4.33)))</f>
        <v/>
      </c>
      <c r="K108">
        <f>IF(I108="","",IF(AND(G108="A",I108&gt;=Supuestos!$B$8),"SÍ","no"))</f>
        <v/>
      </c>
    </row>
    <row r="109">
      <c r="E109">
        <f>IF(D109="diaria",5,IF(D109="semanal",1,IF(D109="quincenal",0.5,IF(D109="mensual",0.25,""))))</f>
        <v/>
      </c>
      <c r="I109" s="2">
        <f>IF(OR(E109="",F109=""),"",E109*F109/60*Supuestos!$B$4)</f>
        <v/>
      </c>
      <c r="J109" s="3">
        <f>IF(OR(I109="",H109=""),"",I109*(H109*Supuestos!$B$3/(Supuestos!$B$2*4.33)))</f>
        <v/>
      </c>
      <c r="K109">
        <f>IF(I109="","",IF(AND(G109="A",I109&gt;=Supuestos!$B$8),"SÍ","no"))</f>
        <v/>
      </c>
    </row>
    <row r="110">
      <c r="E110">
        <f>IF(D110="diaria",5,IF(D110="semanal",1,IF(D110="quincenal",0.5,IF(D110="mensual",0.25,""))))</f>
        <v/>
      </c>
      <c r="I110" s="2">
        <f>IF(OR(E110="",F110=""),"",E110*F110/60*Supuestos!$B$4)</f>
        <v/>
      </c>
      <c r="J110" s="3">
        <f>IF(OR(I110="",H110=""),"",I110*(H110*Supuestos!$B$3/(Supuestos!$B$2*4.33)))</f>
        <v/>
      </c>
      <c r="K110">
        <f>IF(I110="","",IF(AND(G110="A",I110&gt;=Supuestos!$B$8),"SÍ","no"))</f>
        <v/>
      </c>
    </row>
    <row r="111">
      <c r="E111">
        <f>IF(D111="diaria",5,IF(D111="semanal",1,IF(D111="quincenal",0.5,IF(D111="mensual",0.25,""))))</f>
        <v/>
      </c>
      <c r="I111" s="2">
        <f>IF(OR(E111="",F111=""),"",E111*F111/60*Supuestos!$B$4)</f>
        <v/>
      </c>
      <c r="J111" s="3">
        <f>IF(OR(I111="",H111=""),"",I111*(H111*Supuestos!$B$3/(Supuestos!$B$2*4.33)))</f>
        <v/>
      </c>
      <c r="K111">
        <f>IF(I111="","",IF(AND(G111="A",I111&gt;=Supuestos!$B$8),"SÍ","no"))</f>
        <v/>
      </c>
    </row>
    <row r="112">
      <c r="E112">
        <f>IF(D112="diaria",5,IF(D112="semanal",1,IF(D112="quincenal",0.5,IF(D112="mensual",0.25,""))))</f>
        <v/>
      </c>
      <c r="I112" s="2">
        <f>IF(OR(E112="",F112=""),"",E112*F112/60*Supuestos!$B$4)</f>
        <v/>
      </c>
      <c r="J112" s="3">
        <f>IF(OR(I112="",H112=""),"",I112*(H112*Supuestos!$B$3/(Supuestos!$B$2*4.33)))</f>
        <v/>
      </c>
      <c r="K112">
        <f>IF(I112="","",IF(AND(G112="A",I112&gt;=Supuestos!$B$8),"SÍ","no"))</f>
        <v/>
      </c>
    </row>
    <row r="113">
      <c r="E113">
        <f>IF(D113="diaria",5,IF(D113="semanal",1,IF(D113="quincenal",0.5,IF(D113="mensual",0.25,""))))</f>
        <v/>
      </c>
      <c r="I113" s="2">
        <f>IF(OR(E113="",F113=""),"",E113*F113/60*Supuestos!$B$4)</f>
        <v/>
      </c>
      <c r="J113" s="3">
        <f>IF(OR(I113="",H113=""),"",I113*(H113*Supuestos!$B$3/(Supuestos!$B$2*4.33)))</f>
        <v/>
      </c>
      <c r="K113">
        <f>IF(I113="","",IF(AND(G113="A",I113&gt;=Supuestos!$B$8),"SÍ","no"))</f>
        <v/>
      </c>
    </row>
    <row r="114">
      <c r="E114">
        <f>IF(D114="diaria",5,IF(D114="semanal",1,IF(D114="quincenal",0.5,IF(D114="mensual",0.25,""))))</f>
        <v/>
      </c>
      <c r="I114" s="2">
        <f>IF(OR(E114="",F114=""),"",E114*F114/60*Supuestos!$B$4)</f>
        <v/>
      </c>
      <c r="J114" s="3">
        <f>IF(OR(I114="",H114=""),"",I114*(H114*Supuestos!$B$3/(Supuestos!$B$2*4.33)))</f>
        <v/>
      </c>
      <c r="K114">
        <f>IF(I114="","",IF(AND(G114="A",I114&gt;=Supuestos!$B$8),"SÍ","no"))</f>
        <v/>
      </c>
    </row>
    <row r="115">
      <c r="E115">
        <f>IF(D115="diaria",5,IF(D115="semanal",1,IF(D115="quincenal",0.5,IF(D115="mensual",0.25,""))))</f>
        <v/>
      </c>
      <c r="I115" s="2">
        <f>IF(OR(E115="",F115=""),"",E115*F115/60*Supuestos!$B$4)</f>
        <v/>
      </c>
      <c r="J115" s="3">
        <f>IF(OR(I115="",H115=""),"",I115*(H115*Supuestos!$B$3/(Supuestos!$B$2*4.33)))</f>
        <v/>
      </c>
      <c r="K115">
        <f>IF(I115="","",IF(AND(G115="A",I115&gt;=Supuestos!$B$8),"SÍ","no"))</f>
        <v/>
      </c>
    </row>
    <row r="116">
      <c r="E116">
        <f>IF(D116="diaria",5,IF(D116="semanal",1,IF(D116="quincenal",0.5,IF(D116="mensual",0.25,""))))</f>
        <v/>
      </c>
      <c r="I116" s="2">
        <f>IF(OR(E116="",F116=""),"",E116*F116/60*Supuestos!$B$4)</f>
        <v/>
      </c>
      <c r="J116" s="3">
        <f>IF(OR(I116="",H116=""),"",I116*(H116*Supuestos!$B$3/(Supuestos!$B$2*4.33)))</f>
        <v/>
      </c>
      <c r="K116">
        <f>IF(I116="","",IF(AND(G116="A",I116&gt;=Supuestos!$B$8),"SÍ","no"))</f>
        <v/>
      </c>
    </row>
    <row r="117">
      <c r="E117">
        <f>IF(D117="diaria",5,IF(D117="semanal",1,IF(D117="quincenal",0.5,IF(D117="mensual",0.25,""))))</f>
        <v/>
      </c>
      <c r="I117" s="2">
        <f>IF(OR(E117="",F117=""),"",E117*F117/60*Supuestos!$B$4)</f>
        <v/>
      </c>
      <c r="J117" s="3">
        <f>IF(OR(I117="",H117=""),"",I117*(H117*Supuestos!$B$3/(Supuestos!$B$2*4.33)))</f>
        <v/>
      </c>
      <c r="K117">
        <f>IF(I117="","",IF(AND(G117="A",I117&gt;=Supuestos!$B$8),"SÍ","no"))</f>
        <v/>
      </c>
    </row>
    <row r="118">
      <c r="E118">
        <f>IF(D118="diaria",5,IF(D118="semanal",1,IF(D118="quincenal",0.5,IF(D118="mensual",0.25,""))))</f>
        <v/>
      </c>
      <c r="I118" s="2">
        <f>IF(OR(E118="",F118=""),"",E118*F118/60*Supuestos!$B$4)</f>
        <v/>
      </c>
      <c r="J118" s="3">
        <f>IF(OR(I118="",H118=""),"",I118*(H118*Supuestos!$B$3/(Supuestos!$B$2*4.33)))</f>
        <v/>
      </c>
      <c r="K118">
        <f>IF(I118="","",IF(AND(G118="A",I118&gt;=Supuestos!$B$8),"SÍ","no"))</f>
        <v/>
      </c>
    </row>
    <row r="119">
      <c r="E119">
        <f>IF(D119="diaria",5,IF(D119="semanal",1,IF(D119="quincenal",0.5,IF(D119="mensual",0.25,""))))</f>
        <v/>
      </c>
      <c r="I119" s="2">
        <f>IF(OR(E119="",F119=""),"",E119*F119/60*Supuestos!$B$4)</f>
        <v/>
      </c>
      <c r="J119" s="3">
        <f>IF(OR(I119="",H119=""),"",I119*(H119*Supuestos!$B$3/(Supuestos!$B$2*4.33)))</f>
        <v/>
      </c>
      <c r="K119">
        <f>IF(I119="","",IF(AND(G119="A",I119&gt;=Supuestos!$B$8),"SÍ","no"))</f>
        <v/>
      </c>
    </row>
    <row r="120">
      <c r="E120">
        <f>IF(D120="diaria",5,IF(D120="semanal",1,IF(D120="quincenal",0.5,IF(D120="mensual",0.25,""))))</f>
        <v/>
      </c>
      <c r="I120" s="2">
        <f>IF(OR(E120="",F120=""),"",E120*F120/60*Supuestos!$B$4)</f>
        <v/>
      </c>
      <c r="J120" s="3">
        <f>IF(OR(I120="",H120=""),"",I120*(H120*Supuestos!$B$3/(Supuestos!$B$2*4.33)))</f>
        <v/>
      </c>
      <c r="K120">
        <f>IF(I120="","",IF(AND(G120="A",I120&gt;=Supuestos!$B$8),"SÍ","no"))</f>
        <v/>
      </c>
    </row>
    <row r="121">
      <c r="E121">
        <f>IF(D121="diaria",5,IF(D121="semanal",1,IF(D121="quincenal",0.5,IF(D121="mensual",0.25,""))))</f>
        <v/>
      </c>
      <c r="I121" s="2">
        <f>IF(OR(E121="",F121=""),"",E121*F121/60*Supuestos!$B$4)</f>
        <v/>
      </c>
      <c r="J121" s="3">
        <f>IF(OR(I121="",H121=""),"",I121*(H121*Supuestos!$B$3/(Supuestos!$B$2*4.33)))</f>
        <v/>
      </c>
      <c r="K121">
        <f>IF(I121="","",IF(AND(G121="A",I121&gt;=Supuestos!$B$8),"SÍ","no"))</f>
        <v/>
      </c>
    </row>
    <row r="122">
      <c r="E122">
        <f>IF(D122="diaria",5,IF(D122="semanal",1,IF(D122="quincenal",0.5,IF(D122="mensual",0.25,""))))</f>
        <v/>
      </c>
      <c r="I122" s="2">
        <f>IF(OR(E122="",F122=""),"",E122*F122/60*Supuestos!$B$4)</f>
        <v/>
      </c>
      <c r="J122" s="3">
        <f>IF(OR(I122="",H122=""),"",I122*(H122*Supuestos!$B$3/(Supuestos!$B$2*4.33)))</f>
        <v/>
      </c>
      <c r="K122">
        <f>IF(I122="","",IF(AND(G122="A",I122&gt;=Supuestos!$B$8),"SÍ","no"))</f>
        <v/>
      </c>
    </row>
    <row r="123">
      <c r="E123">
        <f>IF(D123="diaria",5,IF(D123="semanal",1,IF(D123="quincenal",0.5,IF(D123="mensual",0.25,""))))</f>
        <v/>
      </c>
      <c r="I123" s="2">
        <f>IF(OR(E123="",F123=""),"",E123*F123/60*Supuestos!$B$4)</f>
        <v/>
      </c>
      <c r="J123" s="3">
        <f>IF(OR(I123="",H123=""),"",I123*(H123*Supuestos!$B$3/(Supuestos!$B$2*4.33)))</f>
        <v/>
      </c>
      <c r="K123">
        <f>IF(I123="","",IF(AND(G123="A",I123&gt;=Supuestos!$B$8),"SÍ","no"))</f>
        <v/>
      </c>
    </row>
    <row r="124">
      <c r="E124">
        <f>IF(D124="diaria",5,IF(D124="semanal",1,IF(D124="quincenal",0.5,IF(D124="mensual",0.25,""))))</f>
        <v/>
      </c>
      <c r="I124" s="2">
        <f>IF(OR(E124="",F124=""),"",E124*F124/60*Supuestos!$B$4)</f>
        <v/>
      </c>
      <c r="J124" s="3">
        <f>IF(OR(I124="",H124=""),"",I124*(H124*Supuestos!$B$3/(Supuestos!$B$2*4.33)))</f>
        <v/>
      </c>
      <c r="K124">
        <f>IF(I124="","",IF(AND(G124="A",I124&gt;=Supuestos!$B$8),"SÍ","no"))</f>
        <v/>
      </c>
    </row>
    <row r="125">
      <c r="E125">
        <f>IF(D125="diaria",5,IF(D125="semanal",1,IF(D125="quincenal",0.5,IF(D125="mensual",0.25,""))))</f>
        <v/>
      </c>
      <c r="I125" s="2">
        <f>IF(OR(E125="",F125=""),"",E125*F125/60*Supuestos!$B$4)</f>
        <v/>
      </c>
      <c r="J125" s="3">
        <f>IF(OR(I125="",H125=""),"",I125*(H125*Supuestos!$B$3/(Supuestos!$B$2*4.33)))</f>
        <v/>
      </c>
      <c r="K125">
        <f>IF(I125="","",IF(AND(G125="A",I125&gt;=Supuestos!$B$8),"SÍ","no"))</f>
        <v/>
      </c>
    </row>
    <row r="126">
      <c r="E126">
        <f>IF(D126="diaria",5,IF(D126="semanal",1,IF(D126="quincenal",0.5,IF(D126="mensual",0.25,""))))</f>
        <v/>
      </c>
      <c r="I126" s="2">
        <f>IF(OR(E126="",F126=""),"",E126*F126/60*Supuestos!$B$4)</f>
        <v/>
      </c>
      <c r="J126" s="3">
        <f>IF(OR(I126="",H126=""),"",I126*(H126*Supuestos!$B$3/(Supuestos!$B$2*4.33)))</f>
        <v/>
      </c>
      <c r="K126">
        <f>IF(I126="","",IF(AND(G126="A",I126&gt;=Supuestos!$B$8),"SÍ","no"))</f>
        <v/>
      </c>
    </row>
    <row r="127">
      <c r="E127">
        <f>IF(D127="diaria",5,IF(D127="semanal",1,IF(D127="quincenal",0.5,IF(D127="mensual",0.25,""))))</f>
        <v/>
      </c>
      <c r="I127" s="2">
        <f>IF(OR(E127="",F127=""),"",E127*F127/60*Supuestos!$B$4)</f>
        <v/>
      </c>
      <c r="J127" s="3">
        <f>IF(OR(I127="",H127=""),"",I127*(H127*Supuestos!$B$3/(Supuestos!$B$2*4.33)))</f>
        <v/>
      </c>
      <c r="K127">
        <f>IF(I127="","",IF(AND(G127="A",I127&gt;=Supuestos!$B$8),"SÍ","no"))</f>
        <v/>
      </c>
    </row>
    <row r="128">
      <c r="E128">
        <f>IF(D128="diaria",5,IF(D128="semanal",1,IF(D128="quincenal",0.5,IF(D128="mensual",0.25,""))))</f>
        <v/>
      </c>
      <c r="I128" s="2">
        <f>IF(OR(E128="",F128=""),"",E128*F128/60*Supuestos!$B$4)</f>
        <v/>
      </c>
      <c r="J128" s="3">
        <f>IF(OR(I128="",H128=""),"",I128*(H128*Supuestos!$B$3/(Supuestos!$B$2*4.33)))</f>
        <v/>
      </c>
      <c r="K128">
        <f>IF(I128="","",IF(AND(G128="A",I128&gt;=Supuestos!$B$8),"SÍ","no"))</f>
        <v/>
      </c>
    </row>
    <row r="129">
      <c r="E129">
        <f>IF(D129="diaria",5,IF(D129="semanal",1,IF(D129="quincenal",0.5,IF(D129="mensual",0.25,""))))</f>
        <v/>
      </c>
      <c r="I129" s="2">
        <f>IF(OR(E129="",F129=""),"",E129*F129/60*Supuestos!$B$4)</f>
        <v/>
      </c>
      <c r="J129" s="3">
        <f>IF(OR(I129="",H129=""),"",I129*(H129*Supuestos!$B$3/(Supuestos!$B$2*4.33)))</f>
        <v/>
      </c>
      <c r="K129">
        <f>IF(I129="","",IF(AND(G129="A",I129&gt;=Supuestos!$B$8),"SÍ","no"))</f>
        <v/>
      </c>
    </row>
    <row r="130">
      <c r="E130">
        <f>IF(D130="diaria",5,IF(D130="semanal",1,IF(D130="quincenal",0.5,IF(D130="mensual",0.25,""))))</f>
        <v/>
      </c>
      <c r="I130" s="2">
        <f>IF(OR(E130="",F130=""),"",E130*F130/60*Supuestos!$B$4)</f>
        <v/>
      </c>
      <c r="J130" s="3">
        <f>IF(OR(I130="",H130=""),"",I130*(H130*Supuestos!$B$3/(Supuestos!$B$2*4.33)))</f>
        <v/>
      </c>
      <c r="K130">
        <f>IF(I130="","",IF(AND(G130="A",I130&gt;=Supuestos!$B$8),"SÍ","no"))</f>
        <v/>
      </c>
    </row>
    <row r="131">
      <c r="E131">
        <f>IF(D131="diaria",5,IF(D131="semanal",1,IF(D131="quincenal",0.5,IF(D131="mensual",0.25,""))))</f>
        <v/>
      </c>
      <c r="I131" s="2">
        <f>IF(OR(E131="",F131=""),"",E131*F131/60*Supuestos!$B$4)</f>
        <v/>
      </c>
      <c r="J131" s="3">
        <f>IF(OR(I131="",H131=""),"",I131*(H131*Supuestos!$B$3/(Supuestos!$B$2*4.33)))</f>
        <v/>
      </c>
      <c r="K131">
        <f>IF(I131="","",IF(AND(G131="A",I131&gt;=Supuestos!$B$8),"SÍ","no"))</f>
        <v/>
      </c>
    </row>
    <row r="132">
      <c r="E132">
        <f>IF(D132="diaria",5,IF(D132="semanal",1,IF(D132="quincenal",0.5,IF(D132="mensual",0.25,""))))</f>
        <v/>
      </c>
      <c r="I132" s="2">
        <f>IF(OR(E132="",F132=""),"",E132*F132/60*Supuestos!$B$4)</f>
        <v/>
      </c>
      <c r="J132" s="3">
        <f>IF(OR(I132="",H132=""),"",I132*(H132*Supuestos!$B$3/(Supuestos!$B$2*4.33)))</f>
        <v/>
      </c>
      <c r="K132">
        <f>IF(I132="","",IF(AND(G132="A",I132&gt;=Supuestos!$B$8),"SÍ","no"))</f>
        <v/>
      </c>
    </row>
    <row r="133">
      <c r="E133">
        <f>IF(D133="diaria",5,IF(D133="semanal",1,IF(D133="quincenal",0.5,IF(D133="mensual",0.25,""))))</f>
        <v/>
      </c>
      <c r="I133" s="2">
        <f>IF(OR(E133="",F133=""),"",E133*F133/60*Supuestos!$B$4)</f>
        <v/>
      </c>
      <c r="J133" s="3">
        <f>IF(OR(I133="",H133=""),"",I133*(H133*Supuestos!$B$3/(Supuestos!$B$2*4.33)))</f>
        <v/>
      </c>
      <c r="K133">
        <f>IF(I133="","",IF(AND(G133="A",I133&gt;=Supuestos!$B$8),"SÍ","no"))</f>
        <v/>
      </c>
    </row>
    <row r="134">
      <c r="E134">
        <f>IF(D134="diaria",5,IF(D134="semanal",1,IF(D134="quincenal",0.5,IF(D134="mensual",0.25,""))))</f>
        <v/>
      </c>
      <c r="I134" s="2">
        <f>IF(OR(E134="",F134=""),"",E134*F134/60*Supuestos!$B$4)</f>
        <v/>
      </c>
      <c r="J134" s="3">
        <f>IF(OR(I134="",H134=""),"",I134*(H134*Supuestos!$B$3/(Supuestos!$B$2*4.33)))</f>
        <v/>
      </c>
      <c r="K134">
        <f>IF(I134="","",IF(AND(G134="A",I134&gt;=Supuestos!$B$8),"SÍ","no"))</f>
        <v/>
      </c>
    </row>
    <row r="135">
      <c r="E135">
        <f>IF(D135="diaria",5,IF(D135="semanal",1,IF(D135="quincenal",0.5,IF(D135="mensual",0.25,""))))</f>
        <v/>
      </c>
      <c r="I135" s="2">
        <f>IF(OR(E135="",F135=""),"",E135*F135/60*Supuestos!$B$4)</f>
        <v/>
      </c>
      <c r="J135" s="3">
        <f>IF(OR(I135="",H135=""),"",I135*(H135*Supuestos!$B$3/(Supuestos!$B$2*4.33)))</f>
        <v/>
      </c>
      <c r="K135">
        <f>IF(I135="","",IF(AND(G135="A",I135&gt;=Supuestos!$B$8),"SÍ","no"))</f>
        <v/>
      </c>
    </row>
    <row r="136">
      <c r="E136">
        <f>IF(D136="diaria",5,IF(D136="semanal",1,IF(D136="quincenal",0.5,IF(D136="mensual",0.25,""))))</f>
        <v/>
      </c>
      <c r="I136" s="2">
        <f>IF(OR(E136="",F136=""),"",E136*F136/60*Supuestos!$B$4)</f>
        <v/>
      </c>
      <c r="J136" s="3">
        <f>IF(OR(I136="",H136=""),"",I136*(H136*Supuestos!$B$3/(Supuestos!$B$2*4.33)))</f>
        <v/>
      </c>
      <c r="K136">
        <f>IF(I136="","",IF(AND(G136="A",I136&gt;=Supuestos!$B$8),"SÍ","no"))</f>
        <v/>
      </c>
    </row>
    <row r="137">
      <c r="E137">
        <f>IF(D137="diaria",5,IF(D137="semanal",1,IF(D137="quincenal",0.5,IF(D137="mensual",0.25,""))))</f>
        <v/>
      </c>
      <c r="I137" s="2">
        <f>IF(OR(E137="",F137=""),"",E137*F137/60*Supuestos!$B$4)</f>
        <v/>
      </c>
      <c r="J137" s="3">
        <f>IF(OR(I137="",H137=""),"",I137*(H137*Supuestos!$B$3/(Supuestos!$B$2*4.33)))</f>
        <v/>
      </c>
      <c r="K137">
        <f>IF(I137="","",IF(AND(G137="A",I137&gt;=Supuestos!$B$8),"SÍ","no"))</f>
        <v/>
      </c>
    </row>
    <row r="138">
      <c r="E138">
        <f>IF(D138="diaria",5,IF(D138="semanal",1,IF(D138="quincenal",0.5,IF(D138="mensual",0.25,""))))</f>
        <v/>
      </c>
      <c r="I138" s="2">
        <f>IF(OR(E138="",F138=""),"",E138*F138/60*Supuestos!$B$4)</f>
        <v/>
      </c>
      <c r="J138" s="3">
        <f>IF(OR(I138="",H138=""),"",I138*(H138*Supuestos!$B$3/(Supuestos!$B$2*4.33)))</f>
        <v/>
      </c>
      <c r="K138">
        <f>IF(I138="","",IF(AND(G138="A",I138&gt;=Supuestos!$B$8),"SÍ","no"))</f>
        <v/>
      </c>
    </row>
    <row r="139">
      <c r="E139">
        <f>IF(D139="diaria",5,IF(D139="semanal",1,IF(D139="quincenal",0.5,IF(D139="mensual",0.25,""))))</f>
        <v/>
      </c>
      <c r="I139" s="2">
        <f>IF(OR(E139="",F139=""),"",E139*F139/60*Supuestos!$B$4)</f>
        <v/>
      </c>
      <c r="J139" s="3">
        <f>IF(OR(I139="",H139=""),"",I139*(H139*Supuestos!$B$3/(Supuestos!$B$2*4.33)))</f>
        <v/>
      </c>
      <c r="K139">
        <f>IF(I139="","",IF(AND(G139="A",I139&gt;=Supuestos!$B$8),"SÍ","no"))</f>
        <v/>
      </c>
    </row>
    <row r="140">
      <c r="E140">
        <f>IF(D140="diaria",5,IF(D140="semanal",1,IF(D140="quincenal",0.5,IF(D140="mensual",0.25,""))))</f>
        <v/>
      </c>
      <c r="I140" s="2">
        <f>IF(OR(E140="",F140=""),"",E140*F140/60*Supuestos!$B$4)</f>
        <v/>
      </c>
      <c r="J140" s="3">
        <f>IF(OR(I140="",H140=""),"",I140*(H140*Supuestos!$B$3/(Supuestos!$B$2*4.33)))</f>
        <v/>
      </c>
      <c r="K140">
        <f>IF(I140="","",IF(AND(G140="A",I140&gt;=Supuestos!$B$8),"SÍ","no"))</f>
        <v/>
      </c>
    </row>
    <row r="141">
      <c r="E141">
        <f>IF(D141="diaria",5,IF(D141="semanal",1,IF(D141="quincenal",0.5,IF(D141="mensual",0.25,""))))</f>
        <v/>
      </c>
      <c r="I141" s="2">
        <f>IF(OR(E141="",F141=""),"",E141*F141/60*Supuestos!$B$4)</f>
        <v/>
      </c>
      <c r="J141" s="3">
        <f>IF(OR(I141="",H141=""),"",I141*(H141*Supuestos!$B$3/(Supuestos!$B$2*4.33)))</f>
        <v/>
      </c>
      <c r="K141">
        <f>IF(I141="","",IF(AND(G141="A",I141&gt;=Supuestos!$B$8),"SÍ","no"))</f>
        <v/>
      </c>
    </row>
    <row r="142">
      <c r="E142">
        <f>IF(D142="diaria",5,IF(D142="semanal",1,IF(D142="quincenal",0.5,IF(D142="mensual",0.25,""))))</f>
        <v/>
      </c>
      <c r="I142" s="2">
        <f>IF(OR(E142="",F142=""),"",E142*F142/60*Supuestos!$B$4)</f>
        <v/>
      </c>
      <c r="J142" s="3">
        <f>IF(OR(I142="",H142=""),"",I142*(H142*Supuestos!$B$3/(Supuestos!$B$2*4.33)))</f>
        <v/>
      </c>
      <c r="K142">
        <f>IF(I142="","",IF(AND(G142="A",I142&gt;=Supuestos!$B$8),"SÍ","no"))</f>
        <v/>
      </c>
    </row>
    <row r="143">
      <c r="E143">
        <f>IF(D143="diaria",5,IF(D143="semanal",1,IF(D143="quincenal",0.5,IF(D143="mensual",0.25,""))))</f>
        <v/>
      </c>
      <c r="I143" s="2">
        <f>IF(OR(E143="",F143=""),"",E143*F143/60*Supuestos!$B$4)</f>
        <v/>
      </c>
      <c r="J143" s="3">
        <f>IF(OR(I143="",H143=""),"",I143*(H143*Supuestos!$B$3/(Supuestos!$B$2*4.33)))</f>
        <v/>
      </c>
      <c r="K143">
        <f>IF(I143="","",IF(AND(G143="A",I143&gt;=Supuestos!$B$8),"SÍ","no"))</f>
        <v/>
      </c>
    </row>
    <row r="144">
      <c r="E144">
        <f>IF(D144="diaria",5,IF(D144="semanal",1,IF(D144="quincenal",0.5,IF(D144="mensual",0.25,""))))</f>
        <v/>
      </c>
      <c r="I144" s="2">
        <f>IF(OR(E144="",F144=""),"",E144*F144/60*Supuestos!$B$4)</f>
        <v/>
      </c>
      <c r="J144" s="3">
        <f>IF(OR(I144="",H144=""),"",I144*(H144*Supuestos!$B$3/(Supuestos!$B$2*4.33)))</f>
        <v/>
      </c>
      <c r="K144">
        <f>IF(I144="","",IF(AND(G144="A",I144&gt;=Supuestos!$B$8),"SÍ","no"))</f>
        <v/>
      </c>
    </row>
    <row r="145">
      <c r="E145">
        <f>IF(D145="diaria",5,IF(D145="semanal",1,IF(D145="quincenal",0.5,IF(D145="mensual",0.25,""))))</f>
        <v/>
      </c>
      <c r="I145" s="2">
        <f>IF(OR(E145="",F145=""),"",E145*F145/60*Supuestos!$B$4)</f>
        <v/>
      </c>
      <c r="J145" s="3">
        <f>IF(OR(I145="",H145=""),"",I145*(H145*Supuestos!$B$3/(Supuestos!$B$2*4.33)))</f>
        <v/>
      </c>
      <c r="K145">
        <f>IF(I145="","",IF(AND(G145="A",I145&gt;=Supuestos!$B$8),"SÍ","no"))</f>
        <v/>
      </c>
    </row>
    <row r="146">
      <c r="E146">
        <f>IF(D146="diaria",5,IF(D146="semanal",1,IF(D146="quincenal",0.5,IF(D146="mensual",0.25,""))))</f>
        <v/>
      </c>
      <c r="I146" s="2">
        <f>IF(OR(E146="",F146=""),"",E146*F146/60*Supuestos!$B$4)</f>
        <v/>
      </c>
      <c r="J146" s="3">
        <f>IF(OR(I146="",H146=""),"",I146*(H146*Supuestos!$B$3/(Supuestos!$B$2*4.33)))</f>
        <v/>
      </c>
      <c r="K146">
        <f>IF(I146="","",IF(AND(G146="A",I146&gt;=Supuestos!$B$8),"SÍ","no"))</f>
        <v/>
      </c>
    </row>
    <row r="147">
      <c r="E147">
        <f>IF(D147="diaria",5,IF(D147="semanal",1,IF(D147="quincenal",0.5,IF(D147="mensual",0.25,""))))</f>
        <v/>
      </c>
      <c r="I147" s="2">
        <f>IF(OR(E147="",F147=""),"",E147*F147/60*Supuestos!$B$4)</f>
        <v/>
      </c>
      <c r="J147" s="3">
        <f>IF(OR(I147="",H147=""),"",I147*(H147*Supuestos!$B$3/(Supuestos!$B$2*4.33)))</f>
        <v/>
      </c>
      <c r="K147">
        <f>IF(I147="","",IF(AND(G147="A",I147&gt;=Supuestos!$B$8),"SÍ","no"))</f>
        <v/>
      </c>
    </row>
    <row r="148">
      <c r="E148">
        <f>IF(D148="diaria",5,IF(D148="semanal",1,IF(D148="quincenal",0.5,IF(D148="mensual",0.25,""))))</f>
        <v/>
      </c>
      <c r="I148" s="2">
        <f>IF(OR(E148="",F148=""),"",E148*F148/60*Supuestos!$B$4)</f>
        <v/>
      </c>
      <c r="J148" s="3">
        <f>IF(OR(I148="",H148=""),"",I148*(H148*Supuestos!$B$3/(Supuestos!$B$2*4.33)))</f>
        <v/>
      </c>
      <c r="K148">
        <f>IF(I148="","",IF(AND(G148="A",I148&gt;=Supuestos!$B$8),"SÍ","no"))</f>
        <v/>
      </c>
    </row>
    <row r="149">
      <c r="E149">
        <f>IF(D149="diaria",5,IF(D149="semanal",1,IF(D149="quincenal",0.5,IF(D149="mensual",0.25,""))))</f>
        <v/>
      </c>
      <c r="I149" s="2">
        <f>IF(OR(E149="",F149=""),"",E149*F149/60*Supuestos!$B$4)</f>
        <v/>
      </c>
      <c r="J149" s="3">
        <f>IF(OR(I149="",H149=""),"",I149*(H149*Supuestos!$B$3/(Supuestos!$B$2*4.33)))</f>
        <v/>
      </c>
      <c r="K149">
        <f>IF(I149="","",IF(AND(G149="A",I149&gt;=Supuestos!$B$8),"SÍ","no"))</f>
        <v/>
      </c>
    </row>
    <row r="150">
      <c r="E150">
        <f>IF(D150="diaria",5,IF(D150="semanal",1,IF(D150="quincenal",0.5,IF(D150="mensual",0.25,""))))</f>
        <v/>
      </c>
      <c r="I150" s="2">
        <f>IF(OR(E150="",F150=""),"",E150*F150/60*Supuestos!$B$4)</f>
        <v/>
      </c>
      <c r="J150" s="3">
        <f>IF(OR(I150="",H150=""),"",I150*(H150*Supuestos!$B$3/(Supuestos!$B$2*4.33)))</f>
        <v/>
      </c>
      <c r="K150">
        <f>IF(I150="","",IF(AND(G150="A",I150&gt;=Supuestos!$B$8),"SÍ","no"))</f>
        <v/>
      </c>
    </row>
    <row r="151">
      <c r="E151">
        <f>IF(D151="diaria",5,IF(D151="semanal",1,IF(D151="quincenal",0.5,IF(D151="mensual",0.25,""))))</f>
        <v/>
      </c>
      <c r="I151" s="2">
        <f>IF(OR(E151="",F151=""),"",E151*F151/60*Supuestos!$B$4)</f>
        <v/>
      </c>
      <c r="J151" s="3">
        <f>IF(OR(I151="",H151=""),"",I151*(H151*Supuestos!$B$3/(Supuestos!$B$2*4.33)))</f>
        <v/>
      </c>
      <c r="K151">
        <f>IF(I151="","",IF(AND(G151="A",I151&gt;=Supuestos!$B$8),"SÍ","no"))</f>
        <v/>
      </c>
    </row>
    <row r="152">
      <c r="E152">
        <f>IF(D152="diaria",5,IF(D152="semanal",1,IF(D152="quincenal",0.5,IF(D152="mensual",0.25,""))))</f>
        <v/>
      </c>
      <c r="I152" s="2">
        <f>IF(OR(E152="",F152=""),"",E152*F152/60*Supuestos!$B$4)</f>
        <v/>
      </c>
      <c r="J152" s="3">
        <f>IF(OR(I152="",H152=""),"",I152*(H152*Supuestos!$B$3/(Supuestos!$B$2*4.33)))</f>
        <v/>
      </c>
      <c r="K152">
        <f>IF(I152="","",IF(AND(G152="A",I152&gt;=Supuestos!$B$8),"SÍ","no"))</f>
        <v/>
      </c>
    </row>
    <row r="153">
      <c r="E153">
        <f>IF(D153="diaria",5,IF(D153="semanal",1,IF(D153="quincenal",0.5,IF(D153="mensual",0.25,""))))</f>
        <v/>
      </c>
      <c r="I153" s="2">
        <f>IF(OR(E153="",F153=""),"",E153*F153/60*Supuestos!$B$4)</f>
        <v/>
      </c>
      <c r="J153" s="3">
        <f>IF(OR(I153="",H153=""),"",I153*(H153*Supuestos!$B$3/(Supuestos!$B$2*4.33)))</f>
        <v/>
      </c>
      <c r="K153">
        <f>IF(I153="","",IF(AND(G153="A",I153&gt;=Supuestos!$B$8),"SÍ","no"))</f>
        <v/>
      </c>
    </row>
    <row r="154">
      <c r="E154">
        <f>IF(D154="diaria",5,IF(D154="semanal",1,IF(D154="quincenal",0.5,IF(D154="mensual",0.25,""))))</f>
        <v/>
      </c>
      <c r="I154" s="2">
        <f>IF(OR(E154="",F154=""),"",E154*F154/60*Supuestos!$B$4)</f>
        <v/>
      </c>
      <c r="J154" s="3">
        <f>IF(OR(I154="",H154=""),"",I154*(H154*Supuestos!$B$3/(Supuestos!$B$2*4.33)))</f>
        <v/>
      </c>
      <c r="K154">
        <f>IF(I154="","",IF(AND(G154="A",I154&gt;=Supuestos!$B$8),"SÍ","no"))</f>
        <v/>
      </c>
    </row>
    <row r="155">
      <c r="E155">
        <f>IF(D155="diaria",5,IF(D155="semanal",1,IF(D155="quincenal",0.5,IF(D155="mensual",0.25,""))))</f>
        <v/>
      </c>
      <c r="I155" s="2">
        <f>IF(OR(E155="",F155=""),"",E155*F155/60*Supuestos!$B$4)</f>
        <v/>
      </c>
      <c r="J155" s="3">
        <f>IF(OR(I155="",H155=""),"",I155*(H155*Supuestos!$B$3/(Supuestos!$B$2*4.33)))</f>
        <v/>
      </c>
      <c r="K155">
        <f>IF(I155="","",IF(AND(G155="A",I155&gt;=Supuestos!$B$8),"SÍ","no"))</f>
        <v/>
      </c>
    </row>
    <row r="156">
      <c r="E156">
        <f>IF(D156="diaria",5,IF(D156="semanal",1,IF(D156="quincenal",0.5,IF(D156="mensual",0.25,""))))</f>
        <v/>
      </c>
      <c r="I156" s="2">
        <f>IF(OR(E156="",F156=""),"",E156*F156/60*Supuestos!$B$4)</f>
        <v/>
      </c>
      <c r="J156" s="3">
        <f>IF(OR(I156="",H156=""),"",I156*(H156*Supuestos!$B$3/(Supuestos!$B$2*4.33)))</f>
        <v/>
      </c>
      <c r="K156">
        <f>IF(I156="","",IF(AND(G156="A",I156&gt;=Supuestos!$B$8),"SÍ","no"))</f>
        <v/>
      </c>
    </row>
    <row r="157">
      <c r="E157">
        <f>IF(D157="diaria",5,IF(D157="semanal",1,IF(D157="quincenal",0.5,IF(D157="mensual",0.25,""))))</f>
        <v/>
      </c>
      <c r="I157" s="2">
        <f>IF(OR(E157="",F157=""),"",E157*F157/60*Supuestos!$B$4)</f>
        <v/>
      </c>
      <c r="J157" s="3">
        <f>IF(OR(I157="",H157=""),"",I157*(H157*Supuestos!$B$3/(Supuestos!$B$2*4.33)))</f>
        <v/>
      </c>
      <c r="K157">
        <f>IF(I157="","",IF(AND(G157="A",I157&gt;=Supuestos!$B$8),"SÍ","no"))</f>
        <v/>
      </c>
    </row>
    <row r="158">
      <c r="E158">
        <f>IF(D158="diaria",5,IF(D158="semanal",1,IF(D158="quincenal",0.5,IF(D158="mensual",0.25,""))))</f>
        <v/>
      </c>
      <c r="I158" s="2">
        <f>IF(OR(E158="",F158=""),"",E158*F158/60*Supuestos!$B$4)</f>
        <v/>
      </c>
      <c r="J158" s="3">
        <f>IF(OR(I158="",H158=""),"",I158*(H158*Supuestos!$B$3/(Supuestos!$B$2*4.33)))</f>
        <v/>
      </c>
      <c r="K158">
        <f>IF(I158="","",IF(AND(G158="A",I158&gt;=Supuestos!$B$8),"SÍ","no"))</f>
        <v/>
      </c>
    </row>
    <row r="159">
      <c r="E159">
        <f>IF(D159="diaria",5,IF(D159="semanal",1,IF(D159="quincenal",0.5,IF(D159="mensual",0.25,""))))</f>
        <v/>
      </c>
      <c r="I159" s="2">
        <f>IF(OR(E159="",F159=""),"",E159*F159/60*Supuestos!$B$4)</f>
        <v/>
      </c>
      <c r="J159" s="3">
        <f>IF(OR(I159="",H159=""),"",I159*(H159*Supuestos!$B$3/(Supuestos!$B$2*4.33)))</f>
        <v/>
      </c>
      <c r="K159">
        <f>IF(I159="","",IF(AND(G159="A",I159&gt;=Supuestos!$B$8),"SÍ","no"))</f>
        <v/>
      </c>
    </row>
    <row r="160">
      <c r="E160">
        <f>IF(D160="diaria",5,IF(D160="semanal",1,IF(D160="quincenal",0.5,IF(D160="mensual",0.25,""))))</f>
        <v/>
      </c>
      <c r="I160" s="2">
        <f>IF(OR(E160="",F160=""),"",E160*F160/60*Supuestos!$B$4)</f>
        <v/>
      </c>
      <c r="J160" s="3">
        <f>IF(OR(I160="",H160=""),"",I160*(H160*Supuestos!$B$3/(Supuestos!$B$2*4.33)))</f>
        <v/>
      </c>
      <c r="K160">
        <f>IF(I160="","",IF(AND(G160="A",I160&gt;=Supuestos!$B$8),"SÍ","no"))</f>
        <v/>
      </c>
    </row>
    <row r="161">
      <c r="E161">
        <f>IF(D161="diaria",5,IF(D161="semanal",1,IF(D161="quincenal",0.5,IF(D161="mensual",0.25,""))))</f>
        <v/>
      </c>
      <c r="I161" s="2">
        <f>IF(OR(E161="",F161=""),"",E161*F161/60*Supuestos!$B$4)</f>
        <v/>
      </c>
      <c r="J161" s="3">
        <f>IF(OR(I161="",H161=""),"",I161*(H161*Supuestos!$B$3/(Supuestos!$B$2*4.33)))</f>
        <v/>
      </c>
      <c r="K161">
        <f>IF(I161="","",IF(AND(G161="A",I161&gt;=Supuestos!$B$8),"SÍ","no"))</f>
        <v/>
      </c>
    </row>
    <row r="162">
      <c r="E162">
        <f>IF(D162="diaria",5,IF(D162="semanal",1,IF(D162="quincenal",0.5,IF(D162="mensual",0.25,""))))</f>
        <v/>
      </c>
      <c r="I162" s="2">
        <f>IF(OR(E162="",F162=""),"",E162*F162/60*Supuestos!$B$4)</f>
        <v/>
      </c>
      <c r="J162" s="3">
        <f>IF(OR(I162="",H162=""),"",I162*(H162*Supuestos!$B$3/(Supuestos!$B$2*4.33)))</f>
        <v/>
      </c>
      <c r="K162">
        <f>IF(I162="","",IF(AND(G162="A",I162&gt;=Supuestos!$B$8),"SÍ","no"))</f>
        <v/>
      </c>
    </row>
    <row r="163">
      <c r="E163">
        <f>IF(D163="diaria",5,IF(D163="semanal",1,IF(D163="quincenal",0.5,IF(D163="mensual",0.25,""))))</f>
        <v/>
      </c>
      <c r="I163" s="2">
        <f>IF(OR(E163="",F163=""),"",E163*F163/60*Supuestos!$B$4)</f>
        <v/>
      </c>
      <c r="J163" s="3">
        <f>IF(OR(I163="",H163=""),"",I163*(H163*Supuestos!$B$3/(Supuestos!$B$2*4.33)))</f>
        <v/>
      </c>
      <c r="K163">
        <f>IF(I163="","",IF(AND(G163="A",I163&gt;=Supuestos!$B$8),"SÍ","no"))</f>
        <v/>
      </c>
    </row>
    <row r="164">
      <c r="E164">
        <f>IF(D164="diaria",5,IF(D164="semanal",1,IF(D164="quincenal",0.5,IF(D164="mensual",0.25,""))))</f>
        <v/>
      </c>
      <c r="I164" s="2">
        <f>IF(OR(E164="",F164=""),"",E164*F164/60*Supuestos!$B$4)</f>
        <v/>
      </c>
      <c r="J164" s="3">
        <f>IF(OR(I164="",H164=""),"",I164*(H164*Supuestos!$B$3/(Supuestos!$B$2*4.33)))</f>
        <v/>
      </c>
      <c r="K164">
        <f>IF(I164="","",IF(AND(G164="A",I164&gt;=Supuestos!$B$8),"SÍ","no"))</f>
        <v/>
      </c>
    </row>
    <row r="165">
      <c r="E165">
        <f>IF(D165="diaria",5,IF(D165="semanal",1,IF(D165="quincenal",0.5,IF(D165="mensual",0.25,""))))</f>
        <v/>
      </c>
      <c r="I165" s="2">
        <f>IF(OR(E165="",F165=""),"",E165*F165/60*Supuestos!$B$4)</f>
        <v/>
      </c>
      <c r="J165" s="3">
        <f>IF(OR(I165="",H165=""),"",I165*(H165*Supuestos!$B$3/(Supuestos!$B$2*4.33)))</f>
        <v/>
      </c>
      <c r="K165">
        <f>IF(I165="","",IF(AND(G165="A",I165&gt;=Supuestos!$B$8),"SÍ","no"))</f>
        <v/>
      </c>
    </row>
    <row r="166">
      <c r="E166">
        <f>IF(D166="diaria",5,IF(D166="semanal",1,IF(D166="quincenal",0.5,IF(D166="mensual",0.25,""))))</f>
        <v/>
      </c>
      <c r="I166" s="2">
        <f>IF(OR(E166="",F166=""),"",E166*F166/60*Supuestos!$B$4)</f>
        <v/>
      </c>
      <c r="J166" s="3">
        <f>IF(OR(I166="",H166=""),"",I166*(H166*Supuestos!$B$3/(Supuestos!$B$2*4.33)))</f>
        <v/>
      </c>
      <c r="K166">
        <f>IF(I166="","",IF(AND(G166="A",I166&gt;=Supuestos!$B$8),"SÍ","no"))</f>
        <v/>
      </c>
    </row>
    <row r="167">
      <c r="E167">
        <f>IF(D167="diaria",5,IF(D167="semanal",1,IF(D167="quincenal",0.5,IF(D167="mensual",0.25,""))))</f>
        <v/>
      </c>
      <c r="I167" s="2">
        <f>IF(OR(E167="",F167=""),"",E167*F167/60*Supuestos!$B$4)</f>
        <v/>
      </c>
      <c r="J167" s="3">
        <f>IF(OR(I167="",H167=""),"",I167*(H167*Supuestos!$B$3/(Supuestos!$B$2*4.33)))</f>
        <v/>
      </c>
      <c r="K167">
        <f>IF(I167="","",IF(AND(G167="A",I167&gt;=Supuestos!$B$8),"SÍ","no"))</f>
        <v/>
      </c>
    </row>
    <row r="168">
      <c r="E168">
        <f>IF(D168="diaria",5,IF(D168="semanal",1,IF(D168="quincenal",0.5,IF(D168="mensual",0.25,""))))</f>
        <v/>
      </c>
      <c r="I168" s="2">
        <f>IF(OR(E168="",F168=""),"",E168*F168/60*Supuestos!$B$4)</f>
        <v/>
      </c>
      <c r="J168" s="3">
        <f>IF(OR(I168="",H168=""),"",I168*(H168*Supuestos!$B$3/(Supuestos!$B$2*4.33)))</f>
        <v/>
      </c>
      <c r="K168">
        <f>IF(I168="","",IF(AND(G168="A",I168&gt;=Supuestos!$B$8),"SÍ","no"))</f>
        <v/>
      </c>
    </row>
    <row r="169">
      <c r="E169">
        <f>IF(D169="diaria",5,IF(D169="semanal",1,IF(D169="quincenal",0.5,IF(D169="mensual",0.25,""))))</f>
        <v/>
      </c>
      <c r="I169" s="2">
        <f>IF(OR(E169="",F169=""),"",E169*F169/60*Supuestos!$B$4)</f>
        <v/>
      </c>
      <c r="J169" s="3">
        <f>IF(OR(I169="",H169=""),"",I169*(H169*Supuestos!$B$3/(Supuestos!$B$2*4.33)))</f>
        <v/>
      </c>
      <c r="K169">
        <f>IF(I169="","",IF(AND(G169="A",I169&gt;=Supuestos!$B$8),"SÍ","no"))</f>
        <v/>
      </c>
    </row>
    <row r="170">
      <c r="E170">
        <f>IF(D170="diaria",5,IF(D170="semanal",1,IF(D170="quincenal",0.5,IF(D170="mensual",0.25,""))))</f>
        <v/>
      </c>
      <c r="I170" s="2">
        <f>IF(OR(E170="",F170=""),"",E170*F170/60*Supuestos!$B$4)</f>
        <v/>
      </c>
      <c r="J170" s="3">
        <f>IF(OR(I170="",H170=""),"",I170*(H170*Supuestos!$B$3/(Supuestos!$B$2*4.33)))</f>
        <v/>
      </c>
      <c r="K170">
        <f>IF(I170="","",IF(AND(G170="A",I170&gt;=Supuestos!$B$8),"SÍ","no"))</f>
        <v/>
      </c>
    </row>
    <row r="171">
      <c r="E171">
        <f>IF(D171="diaria",5,IF(D171="semanal",1,IF(D171="quincenal",0.5,IF(D171="mensual",0.25,""))))</f>
        <v/>
      </c>
      <c r="I171" s="2">
        <f>IF(OR(E171="",F171=""),"",E171*F171/60*Supuestos!$B$4)</f>
        <v/>
      </c>
      <c r="J171" s="3">
        <f>IF(OR(I171="",H171=""),"",I171*(H171*Supuestos!$B$3/(Supuestos!$B$2*4.33)))</f>
        <v/>
      </c>
      <c r="K171">
        <f>IF(I171="","",IF(AND(G171="A",I171&gt;=Supuestos!$B$8),"SÍ","no"))</f>
        <v/>
      </c>
    </row>
    <row r="172">
      <c r="E172">
        <f>IF(D172="diaria",5,IF(D172="semanal",1,IF(D172="quincenal",0.5,IF(D172="mensual",0.25,""))))</f>
        <v/>
      </c>
      <c r="I172" s="2">
        <f>IF(OR(E172="",F172=""),"",E172*F172/60*Supuestos!$B$4)</f>
        <v/>
      </c>
      <c r="J172" s="3">
        <f>IF(OR(I172="",H172=""),"",I172*(H172*Supuestos!$B$3/(Supuestos!$B$2*4.33)))</f>
        <v/>
      </c>
      <c r="K172">
        <f>IF(I172="","",IF(AND(G172="A",I172&gt;=Supuestos!$B$8),"SÍ","no"))</f>
        <v/>
      </c>
    </row>
    <row r="173">
      <c r="E173">
        <f>IF(D173="diaria",5,IF(D173="semanal",1,IF(D173="quincenal",0.5,IF(D173="mensual",0.25,""))))</f>
        <v/>
      </c>
      <c r="I173" s="2">
        <f>IF(OR(E173="",F173=""),"",E173*F173/60*Supuestos!$B$4)</f>
        <v/>
      </c>
      <c r="J173" s="3">
        <f>IF(OR(I173="",H173=""),"",I173*(H173*Supuestos!$B$3/(Supuestos!$B$2*4.33)))</f>
        <v/>
      </c>
      <c r="K173">
        <f>IF(I173="","",IF(AND(G173="A",I173&gt;=Supuestos!$B$8),"SÍ","no"))</f>
        <v/>
      </c>
    </row>
    <row r="174">
      <c r="E174">
        <f>IF(D174="diaria",5,IF(D174="semanal",1,IF(D174="quincenal",0.5,IF(D174="mensual",0.25,""))))</f>
        <v/>
      </c>
      <c r="I174" s="2">
        <f>IF(OR(E174="",F174=""),"",E174*F174/60*Supuestos!$B$4)</f>
        <v/>
      </c>
      <c r="J174" s="3">
        <f>IF(OR(I174="",H174=""),"",I174*(H174*Supuestos!$B$3/(Supuestos!$B$2*4.33)))</f>
        <v/>
      </c>
      <c r="K174">
        <f>IF(I174="","",IF(AND(G174="A",I174&gt;=Supuestos!$B$8),"SÍ","no"))</f>
        <v/>
      </c>
    </row>
    <row r="175">
      <c r="E175">
        <f>IF(D175="diaria",5,IF(D175="semanal",1,IF(D175="quincenal",0.5,IF(D175="mensual",0.25,""))))</f>
        <v/>
      </c>
      <c r="I175" s="2">
        <f>IF(OR(E175="",F175=""),"",E175*F175/60*Supuestos!$B$4)</f>
        <v/>
      </c>
      <c r="J175" s="3">
        <f>IF(OR(I175="",H175=""),"",I175*(H175*Supuestos!$B$3/(Supuestos!$B$2*4.33)))</f>
        <v/>
      </c>
      <c r="K175">
        <f>IF(I175="","",IF(AND(G175="A",I175&gt;=Supuestos!$B$8),"SÍ","no"))</f>
        <v/>
      </c>
    </row>
    <row r="176">
      <c r="E176">
        <f>IF(D176="diaria",5,IF(D176="semanal",1,IF(D176="quincenal",0.5,IF(D176="mensual",0.25,""))))</f>
        <v/>
      </c>
      <c r="I176" s="2">
        <f>IF(OR(E176="",F176=""),"",E176*F176/60*Supuestos!$B$4)</f>
        <v/>
      </c>
      <c r="J176" s="3">
        <f>IF(OR(I176="",H176=""),"",I176*(H176*Supuestos!$B$3/(Supuestos!$B$2*4.33)))</f>
        <v/>
      </c>
      <c r="K176">
        <f>IF(I176="","",IF(AND(G176="A",I176&gt;=Supuestos!$B$8),"SÍ","no"))</f>
        <v/>
      </c>
    </row>
    <row r="177">
      <c r="E177">
        <f>IF(D177="diaria",5,IF(D177="semanal",1,IF(D177="quincenal",0.5,IF(D177="mensual",0.25,""))))</f>
        <v/>
      </c>
      <c r="I177" s="2">
        <f>IF(OR(E177="",F177=""),"",E177*F177/60*Supuestos!$B$4)</f>
        <v/>
      </c>
      <c r="J177" s="3">
        <f>IF(OR(I177="",H177=""),"",I177*(H177*Supuestos!$B$3/(Supuestos!$B$2*4.33)))</f>
        <v/>
      </c>
      <c r="K177">
        <f>IF(I177="","",IF(AND(G177="A",I177&gt;=Supuestos!$B$8),"SÍ","no"))</f>
        <v/>
      </c>
    </row>
    <row r="178">
      <c r="E178">
        <f>IF(D178="diaria",5,IF(D178="semanal",1,IF(D178="quincenal",0.5,IF(D178="mensual",0.25,""))))</f>
        <v/>
      </c>
      <c r="I178" s="2">
        <f>IF(OR(E178="",F178=""),"",E178*F178/60*Supuestos!$B$4)</f>
        <v/>
      </c>
      <c r="J178" s="3">
        <f>IF(OR(I178="",H178=""),"",I178*(H178*Supuestos!$B$3/(Supuestos!$B$2*4.33)))</f>
        <v/>
      </c>
      <c r="K178">
        <f>IF(I178="","",IF(AND(G178="A",I178&gt;=Supuestos!$B$8),"SÍ","no"))</f>
        <v/>
      </c>
    </row>
    <row r="179">
      <c r="E179">
        <f>IF(D179="diaria",5,IF(D179="semanal",1,IF(D179="quincenal",0.5,IF(D179="mensual",0.25,""))))</f>
        <v/>
      </c>
      <c r="I179" s="2">
        <f>IF(OR(E179="",F179=""),"",E179*F179/60*Supuestos!$B$4)</f>
        <v/>
      </c>
      <c r="J179" s="3">
        <f>IF(OR(I179="",H179=""),"",I179*(H179*Supuestos!$B$3/(Supuestos!$B$2*4.33)))</f>
        <v/>
      </c>
      <c r="K179">
        <f>IF(I179="","",IF(AND(G179="A",I179&gt;=Supuestos!$B$8),"SÍ","no"))</f>
        <v/>
      </c>
    </row>
    <row r="180">
      <c r="E180">
        <f>IF(D180="diaria",5,IF(D180="semanal",1,IF(D180="quincenal",0.5,IF(D180="mensual",0.25,""))))</f>
        <v/>
      </c>
      <c r="I180" s="2">
        <f>IF(OR(E180="",F180=""),"",E180*F180/60*Supuestos!$B$4)</f>
        <v/>
      </c>
      <c r="J180" s="3">
        <f>IF(OR(I180="",H180=""),"",I180*(H180*Supuestos!$B$3/(Supuestos!$B$2*4.33)))</f>
        <v/>
      </c>
      <c r="K180">
        <f>IF(I180="","",IF(AND(G180="A",I180&gt;=Supuestos!$B$8),"SÍ","no"))</f>
        <v/>
      </c>
    </row>
    <row r="181">
      <c r="E181">
        <f>IF(D181="diaria",5,IF(D181="semanal",1,IF(D181="quincenal",0.5,IF(D181="mensual",0.25,""))))</f>
        <v/>
      </c>
      <c r="I181" s="2">
        <f>IF(OR(E181="",F181=""),"",E181*F181/60*Supuestos!$B$4)</f>
        <v/>
      </c>
      <c r="J181" s="3">
        <f>IF(OR(I181="",H181=""),"",I181*(H181*Supuestos!$B$3/(Supuestos!$B$2*4.33)))</f>
        <v/>
      </c>
      <c r="K181">
        <f>IF(I181="","",IF(AND(G181="A",I181&gt;=Supuestos!$B$8),"SÍ","no"))</f>
        <v/>
      </c>
    </row>
    <row r="182">
      <c r="E182">
        <f>IF(D182="diaria",5,IF(D182="semanal",1,IF(D182="quincenal",0.5,IF(D182="mensual",0.25,""))))</f>
        <v/>
      </c>
      <c r="I182" s="2">
        <f>IF(OR(E182="",F182=""),"",E182*F182/60*Supuestos!$B$4)</f>
        <v/>
      </c>
      <c r="J182" s="3">
        <f>IF(OR(I182="",H182=""),"",I182*(H182*Supuestos!$B$3/(Supuestos!$B$2*4.33)))</f>
        <v/>
      </c>
      <c r="K182">
        <f>IF(I182="","",IF(AND(G182="A",I182&gt;=Supuestos!$B$8),"SÍ","no"))</f>
        <v/>
      </c>
    </row>
    <row r="183">
      <c r="E183">
        <f>IF(D183="diaria",5,IF(D183="semanal",1,IF(D183="quincenal",0.5,IF(D183="mensual",0.25,""))))</f>
        <v/>
      </c>
      <c r="I183" s="2">
        <f>IF(OR(E183="",F183=""),"",E183*F183/60*Supuestos!$B$4)</f>
        <v/>
      </c>
      <c r="J183" s="3">
        <f>IF(OR(I183="",H183=""),"",I183*(H183*Supuestos!$B$3/(Supuestos!$B$2*4.33)))</f>
        <v/>
      </c>
      <c r="K183">
        <f>IF(I183="","",IF(AND(G183="A",I183&gt;=Supuestos!$B$8),"SÍ","no"))</f>
        <v/>
      </c>
    </row>
    <row r="184">
      <c r="E184">
        <f>IF(D184="diaria",5,IF(D184="semanal",1,IF(D184="quincenal",0.5,IF(D184="mensual",0.25,""))))</f>
        <v/>
      </c>
      <c r="I184" s="2">
        <f>IF(OR(E184="",F184=""),"",E184*F184/60*Supuestos!$B$4)</f>
        <v/>
      </c>
      <c r="J184" s="3">
        <f>IF(OR(I184="",H184=""),"",I184*(H184*Supuestos!$B$3/(Supuestos!$B$2*4.33)))</f>
        <v/>
      </c>
      <c r="K184">
        <f>IF(I184="","",IF(AND(G184="A",I184&gt;=Supuestos!$B$8),"SÍ","no"))</f>
        <v/>
      </c>
    </row>
    <row r="185">
      <c r="E185">
        <f>IF(D185="diaria",5,IF(D185="semanal",1,IF(D185="quincenal",0.5,IF(D185="mensual",0.25,""))))</f>
        <v/>
      </c>
      <c r="I185" s="2">
        <f>IF(OR(E185="",F185=""),"",E185*F185/60*Supuestos!$B$4)</f>
        <v/>
      </c>
      <c r="J185" s="3">
        <f>IF(OR(I185="",H185=""),"",I185*(H185*Supuestos!$B$3/(Supuestos!$B$2*4.33)))</f>
        <v/>
      </c>
      <c r="K185">
        <f>IF(I185="","",IF(AND(G185="A",I185&gt;=Supuestos!$B$8),"SÍ","no"))</f>
        <v/>
      </c>
    </row>
    <row r="186">
      <c r="E186">
        <f>IF(D186="diaria",5,IF(D186="semanal",1,IF(D186="quincenal",0.5,IF(D186="mensual",0.25,""))))</f>
        <v/>
      </c>
      <c r="I186" s="2">
        <f>IF(OR(E186="",F186=""),"",E186*F186/60*Supuestos!$B$4)</f>
        <v/>
      </c>
      <c r="J186" s="3">
        <f>IF(OR(I186="",H186=""),"",I186*(H186*Supuestos!$B$3/(Supuestos!$B$2*4.33)))</f>
        <v/>
      </c>
      <c r="K186">
        <f>IF(I186="","",IF(AND(G186="A",I186&gt;=Supuestos!$B$8),"SÍ","no"))</f>
        <v/>
      </c>
    </row>
    <row r="187">
      <c r="E187">
        <f>IF(D187="diaria",5,IF(D187="semanal",1,IF(D187="quincenal",0.5,IF(D187="mensual",0.25,""))))</f>
        <v/>
      </c>
      <c r="I187" s="2">
        <f>IF(OR(E187="",F187=""),"",E187*F187/60*Supuestos!$B$4)</f>
        <v/>
      </c>
      <c r="J187" s="3">
        <f>IF(OR(I187="",H187=""),"",I187*(H187*Supuestos!$B$3/(Supuestos!$B$2*4.33)))</f>
        <v/>
      </c>
      <c r="K187">
        <f>IF(I187="","",IF(AND(G187="A",I187&gt;=Supuestos!$B$8),"SÍ","no"))</f>
        <v/>
      </c>
    </row>
    <row r="188">
      <c r="E188">
        <f>IF(D188="diaria",5,IF(D188="semanal",1,IF(D188="quincenal",0.5,IF(D188="mensual",0.25,""))))</f>
        <v/>
      </c>
      <c r="I188" s="2">
        <f>IF(OR(E188="",F188=""),"",E188*F188/60*Supuestos!$B$4)</f>
        <v/>
      </c>
      <c r="J188" s="3">
        <f>IF(OR(I188="",H188=""),"",I188*(H188*Supuestos!$B$3/(Supuestos!$B$2*4.33)))</f>
        <v/>
      </c>
      <c r="K188">
        <f>IF(I188="","",IF(AND(G188="A",I188&gt;=Supuestos!$B$8),"SÍ","no"))</f>
        <v/>
      </c>
    </row>
    <row r="189">
      <c r="E189">
        <f>IF(D189="diaria",5,IF(D189="semanal",1,IF(D189="quincenal",0.5,IF(D189="mensual",0.25,""))))</f>
        <v/>
      </c>
      <c r="I189" s="2">
        <f>IF(OR(E189="",F189=""),"",E189*F189/60*Supuestos!$B$4)</f>
        <v/>
      </c>
      <c r="J189" s="3">
        <f>IF(OR(I189="",H189=""),"",I189*(H189*Supuestos!$B$3/(Supuestos!$B$2*4.33)))</f>
        <v/>
      </c>
      <c r="K189">
        <f>IF(I189="","",IF(AND(G189="A",I189&gt;=Supuestos!$B$8),"SÍ","no"))</f>
        <v/>
      </c>
    </row>
    <row r="190">
      <c r="E190">
        <f>IF(D190="diaria",5,IF(D190="semanal",1,IF(D190="quincenal",0.5,IF(D190="mensual",0.25,""))))</f>
        <v/>
      </c>
      <c r="I190" s="2">
        <f>IF(OR(E190="",F190=""),"",E190*F190/60*Supuestos!$B$4)</f>
        <v/>
      </c>
      <c r="J190" s="3">
        <f>IF(OR(I190="",H190=""),"",I190*(H190*Supuestos!$B$3/(Supuestos!$B$2*4.33)))</f>
        <v/>
      </c>
      <c r="K190">
        <f>IF(I190="","",IF(AND(G190="A",I190&gt;=Supuestos!$B$8),"SÍ","no"))</f>
        <v/>
      </c>
    </row>
    <row r="191">
      <c r="E191">
        <f>IF(D191="diaria",5,IF(D191="semanal",1,IF(D191="quincenal",0.5,IF(D191="mensual",0.25,""))))</f>
        <v/>
      </c>
      <c r="I191" s="2">
        <f>IF(OR(E191="",F191=""),"",E191*F191/60*Supuestos!$B$4)</f>
        <v/>
      </c>
      <c r="J191" s="3">
        <f>IF(OR(I191="",H191=""),"",I191*(H191*Supuestos!$B$3/(Supuestos!$B$2*4.33)))</f>
        <v/>
      </c>
      <c r="K191">
        <f>IF(I191="","",IF(AND(G191="A",I191&gt;=Supuestos!$B$8),"SÍ","no"))</f>
        <v/>
      </c>
    </row>
    <row r="192">
      <c r="E192">
        <f>IF(D192="diaria",5,IF(D192="semanal",1,IF(D192="quincenal",0.5,IF(D192="mensual",0.25,""))))</f>
        <v/>
      </c>
      <c r="I192" s="2">
        <f>IF(OR(E192="",F192=""),"",E192*F192/60*Supuestos!$B$4)</f>
        <v/>
      </c>
      <c r="J192" s="3">
        <f>IF(OR(I192="",H192=""),"",I192*(H192*Supuestos!$B$3/(Supuestos!$B$2*4.33)))</f>
        <v/>
      </c>
      <c r="K192">
        <f>IF(I192="","",IF(AND(G192="A",I192&gt;=Supuestos!$B$8),"SÍ","no"))</f>
        <v/>
      </c>
    </row>
    <row r="193">
      <c r="E193">
        <f>IF(D193="diaria",5,IF(D193="semanal",1,IF(D193="quincenal",0.5,IF(D193="mensual",0.25,""))))</f>
        <v/>
      </c>
      <c r="I193" s="2">
        <f>IF(OR(E193="",F193=""),"",E193*F193/60*Supuestos!$B$4)</f>
        <v/>
      </c>
      <c r="J193" s="3">
        <f>IF(OR(I193="",H193=""),"",I193*(H193*Supuestos!$B$3/(Supuestos!$B$2*4.33)))</f>
        <v/>
      </c>
      <c r="K193">
        <f>IF(I193="","",IF(AND(G193="A",I193&gt;=Supuestos!$B$8),"SÍ","no"))</f>
        <v/>
      </c>
    </row>
    <row r="194">
      <c r="E194">
        <f>IF(D194="diaria",5,IF(D194="semanal",1,IF(D194="quincenal",0.5,IF(D194="mensual",0.25,""))))</f>
        <v/>
      </c>
      <c r="I194" s="2">
        <f>IF(OR(E194="",F194=""),"",E194*F194/60*Supuestos!$B$4)</f>
        <v/>
      </c>
      <c r="J194" s="3">
        <f>IF(OR(I194="",H194=""),"",I194*(H194*Supuestos!$B$3/(Supuestos!$B$2*4.33)))</f>
        <v/>
      </c>
      <c r="K194">
        <f>IF(I194="","",IF(AND(G194="A",I194&gt;=Supuestos!$B$8),"SÍ","no"))</f>
        <v/>
      </c>
    </row>
    <row r="195">
      <c r="E195">
        <f>IF(D195="diaria",5,IF(D195="semanal",1,IF(D195="quincenal",0.5,IF(D195="mensual",0.25,""))))</f>
        <v/>
      </c>
      <c r="I195" s="2">
        <f>IF(OR(E195="",F195=""),"",E195*F195/60*Supuestos!$B$4)</f>
        <v/>
      </c>
      <c r="J195" s="3">
        <f>IF(OR(I195="",H195=""),"",I195*(H195*Supuestos!$B$3/(Supuestos!$B$2*4.33)))</f>
        <v/>
      </c>
      <c r="K195">
        <f>IF(I195="","",IF(AND(G195="A",I195&gt;=Supuestos!$B$8),"SÍ","no"))</f>
        <v/>
      </c>
    </row>
    <row r="196">
      <c r="E196">
        <f>IF(D196="diaria",5,IF(D196="semanal",1,IF(D196="quincenal",0.5,IF(D196="mensual",0.25,""))))</f>
        <v/>
      </c>
      <c r="I196" s="2">
        <f>IF(OR(E196="",F196=""),"",E196*F196/60*Supuestos!$B$4)</f>
        <v/>
      </c>
      <c r="J196" s="3">
        <f>IF(OR(I196="",H196=""),"",I196*(H196*Supuestos!$B$3/(Supuestos!$B$2*4.33)))</f>
        <v/>
      </c>
      <c r="K196">
        <f>IF(I196="","",IF(AND(G196="A",I196&gt;=Supuestos!$B$8),"SÍ","no"))</f>
        <v/>
      </c>
    </row>
    <row r="197">
      <c r="E197">
        <f>IF(D197="diaria",5,IF(D197="semanal",1,IF(D197="quincenal",0.5,IF(D197="mensual",0.25,""))))</f>
        <v/>
      </c>
      <c r="I197" s="2">
        <f>IF(OR(E197="",F197=""),"",E197*F197/60*Supuestos!$B$4)</f>
        <v/>
      </c>
      <c r="J197" s="3">
        <f>IF(OR(I197="",H197=""),"",I197*(H197*Supuestos!$B$3/(Supuestos!$B$2*4.33)))</f>
        <v/>
      </c>
      <c r="K197">
        <f>IF(I197="","",IF(AND(G197="A",I197&gt;=Supuestos!$B$8),"SÍ","no"))</f>
        <v/>
      </c>
    </row>
    <row r="198">
      <c r="E198">
        <f>IF(D198="diaria",5,IF(D198="semanal",1,IF(D198="quincenal",0.5,IF(D198="mensual",0.25,""))))</f>
        <v/>
      </c>
      <c r="I198" s="2">
        <f>IF(OR(E198="",F198=""),"",E198*F198/60*Supuestos!$B$4)</f>
        <v/>
      </c>
      <c r="J198" s="3">
        <f>IF(OR(I198="",H198=""),"",I198*(H198*Supuestos!$B$3/(Supuestos!$B$2*4.33)))</f>
        <v/>
      </c>
      <c r="K198">
        <f>IF(I198="","",IF(AND(G198="A",I198&gt;=Supuestos!$B$8),"SÍ","no"))</f>
        <v/>
      </c>
    </row>
    <row r="199">
      <c r="E199">
        <f>IF(D199="diaria",5,IF(D199="semanal",1,IF(D199="quincenal",0.5,IF(D199="mensual",0.25,""))))</f>
        <v/>
      </c>
      <c r="I199" s="2">
        <f>IF(OR(E199="",F199=""),"",E199*F199/60*Supuestos!$B$4)</f>
        <v/>
      </c>
      <c r="J199" s="3">
        <f>IF(OR(I199="",H199=""),"",I199*(H199*Supuestos!$B$3/(Supuestos!$B$2*4.33)))</f>
        <v/>
      </c>
      <c r="K199">
        <f>IF(I199="","",IF(AND(G199="A",I199&gt;=Supuestos!$B$8),"SÍ","no"))</f>
        <v/>
      </c>
    </row>
    <row r="200">
      <c r="E200">
        <f>IF(D200="diaria",5,IF(D200="semanal",1,IF(D200="quincenal",0.5,IF(D200="mensual",0.25,""))))</f>
        <v/>
      </c>
      <c r="I200" s="2">
        <f>IF(OR(E200="",F200=""),"",E200*F200/60*Supuestos!$B$4)</f>
        <v/>
      </c>
      <c r="J200" s="3">
        <f>IF(OR(I200="",H200=""),"",I200*(H200*Supuestos!$B$3/(Supuestos!$B$2*4.33)))</f>
        <v/>
      </c>
      <c r="K200">
        <f>IF(I200="","",IF(AND(G200="A",I200&gt;=Supuestos!$B$8),"SÍ","no"))</f>
        <v/>
      </c>
    </row>
    <row r="201">
      <c r="E201">
        <f>IF(D201="diaria",5,IF(D201="semanal",1,IF(D201="quincenal",0.5,IF(D201="mensual",0.25,""))))</f>
        <v/>
      </c>
      <c r="I201" s="2">
        <f>IF(OR(E201="",F201=""),"",E201*F201/60*Supuestos!$B$4)</f>
        <v/>
      </c>
      <c r="J201" s="3">
        <f>IF(OR(I201="",H201=""),"",I201*(H201*Supuestos!$B$3/(Supuestos!$B$2*4.33)))</f>
        <v/>
      </c>
      <c r="K201">
        <f>IF(I201="","",IF(AND(G201="A",I201&gt;=Supuestos!$B$8),"SÍ","no"))</f>
        <v/>
      </c>
    </row>
  </sheetData>
  <dataValidations count="3">
    <dataValidation sqref="D2:D201" showDropDown="0" showInputMessage="0" showErrorMessage="0" allowBlank="1" type="list">
      <formula1>"diaria,semanal,quincenal,mensual"</formula1>
    </dataValidation>
    <dataValidation sqref="G2:G201" showDropDown="0" showInputMessage="0" showErrorMessage="0" allowBlank="1" type="list">
      <formula1>"A,B"</formula1>
    </dataValidation>
    <dataValidation sqref="L2:L201" showDropDown="0" showInputMessage="0" showErrorMessage="0" allowBlank="1" type="list">
      <formula1>"habilidad,conector,proyecto,prompt"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Supuesto</t>
        </is>
      </c>
      <c r="B1" s="1" t="inlineStr">
        <is>
          <t>Valor</t>
        </is>
      </c>
      <c r="C1" s="1" t="inlineStr">
        <is>
          <t>Origen</t>
        </is>
      </c>
    </row>
    <row r="2">
      <c r="A2" t="inlineStr">
        <is>
          <t>Horas por semana</t>
        </is>
      </c>
      <c r="B2" t="n">
        <v>42.5</v>
      </c>
      <c r="C2" t="inlineStr">
        <is>
          <t>landing, data.js</t>
        </is>
      </c>
    </row>
    <row r="3">
      <c r="A3" t="inlineStr">
        <is>
          <t>Factor de carga social</t>
        </is>
      </c>
      <c r="B3" t="n">
        <v>1.35</v>
      </c>
      <c r="C3" t="inlineStr">
        <is>
          <t>landing</t>
        </is>
      </c>
    </row>
    <row r="4">
      <c r="A4" t="inlineStr">
        <is>
          <t>Semanas al año</t>
        </is>
      </c>
      <c r="B4" t="n">
        <v>46</v>
      </c>
      <c r="C4" t="inlineStr">
        <is>
          <t>landing</t>
        </is>
      </c>
    </row>
    <row r="5">
      <c r="A5" t="inlineStr">
        <is>
          <t>Factor de realización</t>
        </is>
      </c>
      <c r="B5" t="n">
        <v>0.6</v>
      </c>
      <c r="C5" t="inlineStr">
        <is>
          <t>landing</t>
        </is>
      </c>
    </row>
    <row r="6">
      <c r="A6" t="inlineStr">
        <is>
          <t>Jornada 2027 (h/semana)</t>
        </is>
      </c>
      <c r="B6" t="n">
        <v>46</v>
      </c>
      <c r="C6" t="inlineStr">
        <is>
          <t>jornada-40</t>
        </is>
      </c>
    </row>
    <row r="7">
      <c r="A7" t="inlineStr">
        <is>
          <t>Jornada 2030 (h/semana)</t>
        </is>
      </c>
      <c r="B7" t="n">
        <v>40</v>
      </c>
      <c r="C7" t="inlineStr">
        <is>
          <t>jornada-40</t>
        </is>
      </c>
    </row>
    <row r="8">
      <c r="A8" t="inlineStr">
        <is>
          <t>Umbral horas/año para candidata</t>
        </is>
      </c>
      <c r="B8" t="n">
        <v>20</v>
      </c>
      <c r="C8" t="inlineStr">
        <is>
          <t>criterio del curso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20" customWidth="1" min="4" max="4"/>
    <col width="12" customWidth="1" min="5" max="5"/>
    <col width="30" customWidth="1" min="6" max="6"/>
  </cols>
  <sheetData>
    <row r="1">
      <c r="A1" s="1" t="inlineStr">
        <is>
          <t>Área</t>
        </is>
      </c>
      <c r="B1" s="1" t="inlineStr">
        <is>
          <t>Tareas</t>
        </is>
      </c>
      <c r="C1" s="1" t="inlineStr">
        <is>
          <t>Horas al año tipo A</t>
        </is>
      </c>
      <c r="D1" s="1" t="inlineStr">
        <is>
          <t>Costo al año tipo A</t>
        </is>
      </c>
      <c r="E1" s="1" t="inlineStr">
        <is>
          <t>Candidatas</t>
        </is>
      </c>
      <c r="F1" s="1" t="inlineStr">
        <is>
          <t>Horas recuperables (×realización)</t>
        </is>
      </c>
    </row>
    <row r="2">
      <c r="A2" t="inlineStr">
        <is>
          <t>Dirección</t>
        </is>
      </c>
      <c r="B2">
        <f>COUNTIF(Tareas!$A$2:$A$201,A2)</f>
        <v/>
      </c>
      <c r="C2" s="2">
        <f>SUMIFS(Tareas!$I$2:$I$201,Tareas!$A$2:$A$201,A2,Tareas!$G$2:$G$201,"A")</f>
        <v/>
      </c>
      <c r="D2" s="3">
        <f>SUMIFS(Tareas!$J$2:$J$201,Tareas!$A$2:$A$201,A2,Tareas!$G$2:$G$201,"A")</f>
        <v/>
      </c>
      <c r="E2">
        <f>COUNTIFS(Tareas!$A$2:$A$201,A2,Tareas!$K$2:$K$201,"SÍ")</f>
        <v/>
      </c>
      <c r="F2" s="2">
        <f>C2*Supuestos!$B$5</f>
        <v/>
      </c>
    </row>
    <row r="3">
      <c r="A3" t="inlineStr">
        <is>
          <t>Operaciones</t>
        </is>
      </c>
      <c r="B3">
        <f>COUNTIF(Tareas!$A$2:$A$201,A3)</f>
        <v/>
      </c>
      <c r="C3" s="2">
        <f>SUMIFS(Tareas!$I$2:$I$201,Tareas!$A$2:$A$201,A3,Tareas!$G$2:$G$201,"A")</f>
        <v/>
      </c>
      <c r="D3" s="3">
        <f>SUMIFS(Tareas!$J$2:$J$201,Tareas!$A$2:$A$201,A3,Tareas!$G$2:$G$201,"A")</f>
        <v/>
      </c>
      <c r="E3">
        <f>COUNTIFS(Tareas!$A$2:$A$201,A3,Tareas!$K$2:$K$201,"SÍ")</f>
        <v/>
      </c>
      <c r="F3" s="2">
        <f>C3*Supuestos!$B$5</f>
        <v/>
      </c>
    </row>
    <row r="4">
      <c r="A4" t="inlineStr">
        <is>
          <t>Finanzas</t>
        </is>
      </c>
      <c r="B4">
        <f>COUNTIF(Tareas!$A$2:$A$201,A4)</f>
        <v/>
      </c>
      <c r="C4" s="2">
        <f>SUMIFS(Tareas!$I$2:$I$201,Tareas!$A$2:$A$201,A4,Tareas!$G$2:$G$201,"A")</f>
        <v/>
      </c>
      <c r="D4" s="3">
        <f>SUMIFS(Tareas!$J$2:$J$201,Tareas!$A$2:$A$201,A4,Tareas!$G$2:$G$201,"A")</f>
        <v/>
      </c>
      <c r="E4">
        <f>COUNTIFS(Tareas!$A$2:$A$201,A4,Tareas!$K$2:$K$201,"SÍ")</f>
        <v/>
      </c>
      <c r="F4" s="2">
        <f>C4*Supuestos!$B$5</f>
        <v/>
      </c>
    </row>
    <row r="5">
      <c r="A5" t="inlineStr">
        <is>
          <t>RH</t>
        </is>
      </c>
      <c r="B5">
        <f>COUNTIF(Tareas!$A$2:$A$201,A5)</f>
        <v/>
      </c>
      <c r="C5" s="2">
        <f>SUMIFS(Tareas!$I$2:$I$201,Tareas!$A$2:$A$201,A5,Tareas!$G$2:$G$201,"A")</f>
        <v/>
      </c>
      <c r="D5" s="3">
        <f>SUMIFS(Tareas!$J$2:$J$201,Tareas!$A$2:$A$201,A5,Tareas!$G$2:$G$201,"A")</f>
        <v/>
      </c>
      <c r="E5">
        <f>COUNTIFS(Tareas!$A$2:$A$201,A5,Tareas!$K$2:$K$201,"SÍ")</f>
        <v/>
      </c>
      <c r="F5" s="2">
        <f>C5*Supuestos!$B$5</f>
        <v/>
      </c>
    </row>
    <row r="6">
      <c r="A6" t="inlineStr">
        <is>
          <t>Marketing</t>
        </is>
      </c>
      <c r="B6">
        <f>COUNTIF(Tareas!$A$2:$A$201,A6)</f>
        <v/>
      </c>
      <c r="C6" s="2">
        <f>SUMIFS(Tareas!$I$2:$I$201,Tareas!$A$2:$A$201,A6,Tareas!$G$2:$G$201,"A")</f>
        <v/>
      </c>
      <c r="D6" s="3">
        <f>SUMIFS(Tareas!$J$2:$J$201,Tareas!$A$2:$A$201,A6,Tareas!$G$2:$G$201,"A")</f>
        <v/>
      </c>
      <c r="E6">
        <f>COUNTIFS(Tareas!$A$2:$A$201,A6,Tareas!$K$2:$K$201,"SÍ")</f>
        <v/>
      </c>
      <c r="F6" s="2">
        <f>C6*Supuestos!$B$5</f>
        <v/>
      </c>
    </row>
    <row r="7">
      <c r="A7" t="inlineStr">
        <is>
          <t>Ventas</t>
        </is>
      </c>
      <c r="B7">
        <f>COUNTIF(Tareas!$A$2:$A$201,A7)</f>
        <v/>
      </c>
      <c r="C7" s="2">
        <f>SUMIFS(Tareas!$I$2:$I$201,Tareas!$A$2:$A$201,A7,Tareas!$G$2:$G$201,"A")</f>
        <v/>
      </c>
      <c r="D7" s="3">
        <f>SUMIFS(Tareas!$J$2:$J$201,Tareas!$A$2:$A$201,A7,Tareas!$G$2:$G$201,"A")</f>
        <v/>
      </c>
      <c r="E7">
        <f>COUNTIFS(Tareas!$A$2:$A$201,A7,Tareas!$K$2:$K$201,"SÍ")</f>
        <v/>
      </c>
      <c r="F7" s="2">
        <f>C7*Supuestos!$B$5</f>
        <v/>
      </c>
    </row>
    <row r="8">
      <c r="A8" t="inlineStr">
        <is>
          <t>TI</t>
        </is>
      </c>
      <c r="B8">
        <f>COUNTIF(Tareas!$A$2:$A$201,A8)</f>
        <v/>
      </c>
      <c r="C8" s="2">
        <f>SUMIFS(Tareas!$I$2:$I$201,Tareas!$A$2:$A$201,A8,Tareas!$G$2:$G$201,"A")</f>
        <v/>
      </c>
      <c r="D8" s="3">
        <f>SUMIFS(Tareas!$J$2:$J$201,Tareas!$A$2:$A$201,A8,Tareas!$G$2:$G$201,"A")</f>
        <v/>
      </c>
      <c r="E8">
        <f>COUNTIFS(Tareas!$A$2:$A$201,A8,Tareas!$K$2:$K$201,"SÍ")</f>
        <v/>
      </c>
      <c r="F8" s="2">
        <f>C8*Supuestos!$B$5</f>
        <v/>
      </c>
    </row>
    <row r="9">
      <c r="A9" t="inlineStr">
        <is>
          <t>Administración</t>
        </is>
      </c>
      <c r="B9">
        <f>COUNTIF(Tareas!$A$2:$A$201,A9)</f>
        <v/>
      </c>
      <c r="C9" s="2">
        <f>SUMIFS(Tareas!$I$2:$I$201,Tareas!$A$2:$A$201,A9,Tareas!$G$2:$G$201,"A")</f>
        <v/>
      </c>
      <c r="D9" s="3">
        <f>SUMIFS(Tareas!$J$2:$J$201,Tareas!$A$2:$A$201,A9,Tareas!$G$2:$G$201,"A")</f>
        <v/>
      </c>
      <c r="E9">
        <f>COUNTIFS(Tareas!$A$2:$A$201,A9,Tareas!$K$2:$K$201,"SÍ")</f>
        <v/>
      </c>
      <c r="F9" s="2">
        <f>C9*Supuestos!$B$5</f>
        <v/>
      </c>
    </row>
    <row r="10">
      <c r="A10" t="inlineStr">
        <is>
          <t>Atención a clientes</t>
        </is>
      </c>
      <c r="B10">
        <f>COUNTIF(Tareas!$A$2:$A$201,A10)</f>
        <v/>
      </c>
      <c r="C10" s="2">
        <f>SUMIFS(Tareas!$I$2:$I$201,Tareas!$A$2:$A$201,A10,Tareas!$G$2:$G$201,"A")</f>
        <v/>
      </c>
      <c r="D10" s="3">
        <f>SUMIFS(Tareas!$J$2:$J$201,Tareas!$A$2:$A$201,A10,Tareas!$G$2:$G$201,"A")</f>
        <v/>
      </c>
      <c r="E10">
        <f>COUNTIFS(Tareas!$A$2:$A$201,A10,Tareas!$K$2:$K$201,"SÍ")</f>
        <v/>
      </c>
      <c r="F10" s="2">
        <f>C10*Supuestos!$B$5</f>
        <v/>
      </c>
    </row>
    <row r="11">
      <c r="A11" t="inlineStr">
        <is>
          <t>TOTAL</t>
        </is>
      </c>
      <c r="B11">
        <f>SUM(B2:B10)</f>
        <v/>
      </c>
      <c r="C11" s="2">
        <f>SUM(C2:C10)</f>
        <v/>
      </c>
      <c r="D11" s="3">
        <f>SUM(D2:D10)</f>
        <v/>
      </c>
      <c r="E11">
        <f>SUM(E2:E10)</f>
        <v/>
      </c>
      <c r="F11" s="2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2026-09-03T22:38:07Z</dcterms:created>
  <dcterms:modified xmlns:dcterms="http://purl.org/dc/terms/" xmlns:xsi="http://www.w3.org/2001/XMLSchema-instance" xsi:type="dcterms:W3CDTF">2026-09-03T22:38:07Z</dcterms:modified>
</cp:coreProperties>
</file>